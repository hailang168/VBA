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_han\Downloads\"/>
    </mc:Choice>
  </mc:AlternateContent>
  <xr:revisionPtr revIDLastSave="0" documentId="13_ncr:1_{B547481C-D389-456B-9B96-041D122DEE32}" xr6:coauthVersionLast="47" xr6:coauthVersionMax="47" xr10:uidLastSave="{00000000-0000-0000-0000-000000000000}"/>
  <bookViews>
    <workbookView xWindow="-108" yWindow="-108" windowWidth="23256" windowHeight="12576" tabRatio="826" activeTab="3" xr2:uid="{00000000-000D-0000-FFFF-FFFF00000000}"/>
  </bookViews>
  <sheets>
    <sheet name="前期準備" sheetId="5" r:id="rId1"/>
    <sheet name="テーブル" sheetId="2" r:id="rId2"/>
    <sheet name="カラム" sheetId="3" r:id="rId3"/>
    <sheet name="データ抽出" sheetId="1" r:id="rId4"/>
    <sheet name="Sheet15" sheetId="93" r:id="rId5"/>
  </sheets>
  <functionGroups builtInGroupCount="19"/>
  <definedNames>
    <definedName name="_xlnm._FilterDatabase" localSheetId="2" hidden="1">カラム!$A$4:$E$366</definedName>
    <definedName name="sheetColumnInfo" localSheetId="2">カラム!$A:$D</definedName>
    <definedName name="sheetTableInfo" localSheetId="1">テーブル!$A:$B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3" l="1"/>
  <c r="C22" i="3"/>
  <c r="C366" i="3" l="1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hailang</author>
  </authors>
  <commentList>
    <comment ref="D3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自分のサーバ情報を修正してください。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9A9BC1A-A085-4865-9266-2EC6FAB1C843}" keepAlive="1" name="クエリ - 20230920_org" description="ブック内の '20230920_org' クエリへの接続です。" type="5" refreshedVersion="0" background="1">
    <dbPr connection="Provider=Microsoft.Mashup.OleDb.1;Data Source=$Workbook$;Location=20230920_org;Extended Properties=&quot;&quot;" command="SELECT * FROM [20230920_org]"/>
  </connection>
  <connection id="2" xr16:uid="{C4BF8383-BA41-49FF-B9D1-78835C2006D6}" keepAlive="1" name="クエリ - 20230920_org (2)" description="ブック内の '20230920_org (2)' クエリへの接続です。" type="5" refreshedVersion="8" background="1" saveData="1">
    <dbPr connection="Provider=Microsoft.Mashup.OleDb.1;Data Source=$Workbook$;Location=&quot;20230920_org (2)&quot;;Extended Properties=&quot;&quot;" command="SELECT * FROM [20230920_org (2)]"/>
  </connection>
</connections>
</file>

<file path=xl/sharedStrings.xml><?xml version="1.0" encoding="utf-8"?>
<sst xmlns="http://schemas.openxmlformats.org/spreadsheetml/2006/main" count="2003" uniqueCount="1119">
  <si>
    <t>localhost</t>
    <phoneticPr fontId="1"/>
  </si>
  <si>
    <t>テーブル一覧</t>
    <rPh sb="4" eb="6">
      <t>イチラン</t>
    </rPh>
    <phoneticPr fontId="1"/>
  </si>
  <si>
    <t>カラム一覧</t>
    <rPh sb="3" eb="5">
      <t>イチラン</t>
    </rPh>
    <phoneticPr fontId="1"/>
  </si>
  <si>
    <t>カラム名称</t>
    <rPh sb="3" eb="5">
      <t>メイショウ</t>
    </rPh>
    <phoneticPr fontId="1"/>
  </si>
  <si>
    <t>テーブルID</t>
    <phoneticPr fontId="1"/>
  </si>
  <si>
    <t>サーバ情報</t>
    <rPh sb="3" eb="5">
      <t>ジョウホウ</t>
    </rPh>
    <phoneticPr fontId="1"/>
  </si>
  <si>
    <t>ソート順</t>
    <rPh sb="3" eb="4">
      <t>ジュン</t>
    </rPh>
    <phoneticPr fontId="1"/>
  </si>
  <si>
    <t>テーブル名称</t>
    <rPh sb="4" eb="6">
      <t>メイショウ</t>
    </rPh>
    <phoneticPr fontId="1"/>
  </si>
  <si>
    <t>where条件</t>
    <rPh sb="5" eb="7">
      <t>ジョウケン</t>
    </rPh>
    <phoneticPr fontId="1"/>
  </si>
  <si>
    <t>テーブルID</t>
    <phoneticPr fontId="1"/>
  </si>
  <si>
    <t>サーバ：</t>
    <phoneticPr fontId="1"/>
  </si>
  <si>
    <t>データベース：</t>
    <phoneticPr fontId="1"/>
  </si>
  <si>
    <t>パスワード：</t>
    <phoneticPr fontId="1"/>
  </si>
  <si>
    <t>ユーザID：</t>
    <phoneticPr fontId="1"/>
  </si>
  <si>
    <t>テーブル名称</t>
    <rPh sb="4" eb="6">
      <t>メイショウ</t>
    </rPh>
    <phoneticPr fontId="1"/>
  </si>
  <si>
    <t>テーブル_項目</t>
    <rPh sb="5" eb="7">
      <t>コウモク</t>
    </rPh>
    <phoneticPr fontId="1"/>
  </si>
  <si>
    <t>WHERE
条件</t>
    <rPh sb="6" eb="8">
      <t>ジョウケン</t>
    </rPh>
    <phoneticPr fontId="1"/>
  </si>
  <si>
    <t>No.</t>
    <phoneticPr fontId="1"/>
  </si>
  <si>
    <t>シート名</t>
    <rPh sb="3" eb="4">
      <t>メイ</t>
    </rPh>
    <phoneticPr fontId="1"/>
  </si>
  <si>
    <t>データ抽出・挿入ツール</t>
    <rPh sb="3" eb="5">
      <t>チュウシュツ</t>
    </rPh>
    <rPh sb="6" eb="8">
      <t>ソウニュウ</t>
    </rPh>
    <phoneticPr fontId="1"/>
  </si>
  <si>
    <t>挿入シート名</t>
    <rPh sb="0" eb="2">
      <t>ソウニュウ</t>
    </rPh>
    <rPh sb="5" eb="6">
      <t>メイ</t>
    </rPh>
    <phoneticPr fontId="1"/>
  </si>
  <si>
    <t>性別</t>
  </si>
  <si>
    <t>生年月日</t>
  </si>
  <si>
    <t>#データベース作成</t>
    <rPh sb="7" eb="9">
      <t>サクセイ</t>
    </rPh>
    <phoneticPr fontId="1"/>
  </si>
  <si>
    <t>★office VBAでPostgreSQLへ接続する時に、64bitの ODBCのインストールが必要です。</t>
    <rPh sb="23" eb="25">
      <t>セツゾク</t>
    </rPh>
    <rPh sb="27" eb="28">
      <t>トキ</t>
    </rPh>
    <phoneticPr fontId="1"/>
  </si>
  <si>
    <t>https://www.postgresql.org/ftp/odbc/versions/msi/</t>
    <phoneticPr fontId="1"/>
  </si>
  <si>
    <t>AssociateCode</t>
  </si>
  <si>
    <t>CustomerNo</t>
  </si>
  <si>
    <t>NameKana</t>
  </si>
  <si>
    <t>Name</t>
  </si>
  <si>
    <t>Sex</t>
  </si>
  <si>
    <t>PostalCode</t>
  </si>
  <si>
    <t>Address</t>
  </si>
  <si>
    <t>HomePhone</t>
  </si>
  <si>
    <t>PolicyNumber</t>
  </si>
  <si>
    <t>Birthday</t>
  </si>
  <si>
    <t>MigrationId</t>
  </si>
  <si>
    <t>GroupMigrationId</t>
  </si>
  <si>
    <t>IsExistingContract</t>
  </si>
  <si>
    <t>FamilyMemo</t>
  </si>
  <si>
    <t>顧客番号</t>
  </si>
  <si>
    <t>氏名（カタカナ）</t>
  </si>
  <si>
    <t>氏名（漢字）</t>
  </si>
  <si>
    <t>郵便番号</t>
  </si>
  <si>
    <t>住所</t>
  </si>
  <si>
    <t>自宅電話番号</t>
  </si>
  <si>
    <t>代表証券No</t>
  </si>
  <si>
    <t>user</t>
    <phoneticPr fontId="1"/>
  </si>
  <si>
    <t>pass</t>
    <phoneticPr fontId="1"/>
  </si>
  <si>
    <t>psqlodbc_12_01_0000-x64.zip</t>
    <phoneticPr fontId="1"/>
  </si>
  <si>
    <t>https://www.javadrive.jp/postgresql/schema/index2.html</t>
    <phoneticPr fontId="1"/>
  </si>
  <si>
    <t>jdbc:h2:tcp://localhost/data/hankanCampsDb</t>
  </si>
  <si>
    <t>URL:</t>
    <phoneticPr fontId="1"/>
  </si>
  <si>
    <t>jdbc:h2:C:\\H2\\data\\hankanCampsDb</t>
    <phoneticPr fontId="1"/>
  </si>
  <si>
    <t>create table pg_catalog.pg_type (</t>
  </si>
  <si>
    <t>oid  integer,</t>
  </si>
  <si>
    <t>typname varchar(50),</t>
  </si>
  <si>
    <t xml:space="preserve">typnamespace varchar(50), </t>
  </si>
  <si>
    <t xml:space="preserve">typlen varchar(50), </t>
  </si>
  <si>
    <t>typtype varchar(50),</t>
  </si>
  <si>
    <t xml:space="preserve"> typdelim varchar(50), </t>
  </si>
  <si>
    <t xml:space="preserve">typrelid integer, </t>
  </si>
  <si>
    <t>typelem  varchar(50),</t>
  </si>
  <si>
    <t>typbasetype  varchar(50),</t>
  </si>
  <si>
    <t xml:space="preserve">typtypmod varchar(50), </t>
  </si>
  <si>
    <t>typnotnull  varchar(50),</t>
  </si>
  <si>
    <t>typinput  varchar(50)</t>
  </si>
  <si>
    <t>);</t>
  </si>
  <si>
    <t>create table pg_catalog.pg_namespace (</t>
  </si>
  <si>
    <t>id integer,</t>
  </si>
  <si>
    <t>nspname  varchar(50)</t>
  </si>
  <si>
    <t>hankan1</t>
    <phoneticPr fontId="1"/>
  </si>
  <si>
    <t>販管1データのテーブル</t>
    <phoneticPr fontId="7"/>
  </si>
  <si>
    <t>hankan2</t>
  </si>
  <si>
    <t>販管2データのテーブル</t>
    <phoneticPr fontId="7"/>
  </si>
  <si>
    <t>hankan3</t>
  </si>
  <si>
    <t>販管3データのテーブル</t>
    <phoneticPr fontId="7"/>
  </si>
  <si>
    <t>hankan4</t>
  </si>
  <si>
    <t>販管4データのテーブル</t>
    <phoneticPr fontId="7"/>
  </si>
  <si>
    <t>hankan5</t>
  </si>
  <si>
    <t>販管5データのテーブル</t>
    <phoneticPr fontId="7"/>
  </si>
  <si>
    <t>hankan6</t>
  </si>
  <si>
    <t>販管6データのテーブル</t>
    <phoneticPr fontId="7"/>
  </si>
  <si>
    <t>UserInfo</t>
  </si>
  <si>
    <t>CAMPSユーザ情報のテーブル</t>
    <rPh sb="8" eb="10">
      <t>ジョウホウ</t>
    </rPh>
    <phoneticPr fontId="7"/>
  </si>
  <si>
    <t>RecordType</t>
  </si>
  <si>
    <t>CAMPS レコードタイプマスタのテーブル</t>
    <phoneticPr fontId="7"/>
  </si>
  <si>
    <t>AssociateInfo</t>
  </si>
  <si>
    <t>CAMPS 代理店出先情報のテーブル</t>
    <rPh sb="6" eb="9">
      <t>ダイリテン</t>
    </rPh>
    <rPh sb="9" eb="11">
      <t>デサキ</t>
    </rPh>
    <rPh sb="11" eb="13">
      <t>ジョウホウ</t>
    </rPh>
    <phoneticPr fontId="7"/>
  </si>
  <si>
    <t>ExistingContractInfo</t>
  </si>
  <si>
    <t>CAMPS　既契約者情報のテーブル</t>
    <rPh sb="6" eb="10">
      <t>キケイヤクシャ</t>
    </rPh>
    <rPh sb="10" eb="12">
      <t>ジョウホウ</t>
    </rPh>
    <phoneticPr fontId="7"/>
  </si>
  <si>
    <t>GroupSalesAssociate</t>
  </si>
  <si>
    <t>CAMPS 団体担当代理店情報のテーブル</t>
    <rPh sb="6" eb="8">
      <t>ダンタイ</t>
    </rPh>
    <rPh sb="8" eb="10">
      <t>タントウ</t>
    </rPh>
    <rPh sb="10" eb="13">
      <t>ダイリテン</t>
    </rPh>
    <rPh sb="13" eb="15">
      <t>ジョウホウ</t>
    </rPh>
    <phoneticPr fontId="7"/>
  </si>
  <si>
    <t>org</t>
  </si>
  <si>
    <t>白地団体のテーブル</t>
    <phoneticPr fontId="7"/>
  </si>
  <si>
    <t>family</t>
  </si>
  <si>
    <t>世帯のテーブル</t>
    <phoneticPr fontId="7"/>
  </si>
  <si>
    <t>NewAccount</t>
  </si>
  <si>
    <t>白地顧客のテーブル</t>
    <rPh sb="0" eb="2">
      <t>シラジ</t>
    </rPh>
    <rPh sb="2" eb="4">
      <t>コキャク</t>
    </rPh>
    <phoneticPr fontId="7"/>
  </si>
  <si>
    <t>AccountContactRelation</t>
  </si>
  <si>
    <t>取引先と取引先責任者リレーションのテーブル</t>
    <rPh sb="0" eb="2">
      <t>トリヒキ</t>
    </rPh>
    <rPh sb="2" eb="10">
      <t>サキトトリヒキサキセキニンシャ</t>
    </rPh>
    <phoneticPr fontId="7"/>
  </si>
  <si>
    <t>ClientClassificationMaster</t>
  </si>
  <si>
    <t>顧客分類のテーブル</t>
    <rPh sb="0" eb="2">
      <t>コキャク</t>
    </rPh>
    <rPh sb="2" eb="4">
      <t>ブンルイ</t>
    </rPh>
    <phoneticPr fontId="7"/>
  </si>
  <si>
    <t>IncomingChannel</t>
  </si>
  <si>
    <t>受付経路マスタのテーブル</t>
    <phoneticPr fontId="7"/>
  </si>
  <si>
    <t>CustomerNotes</t>
  </si>
  <si>
    <t>顧客注意事項のテーブル</t>
    <phoneticPr fontId="7"/>
  </si>
  <si>
    <t>ContactClassMaster</t>
  </si>
  <si>
    <t>対応種別マスタのテーブル</t>
    <phoneticPr fontId="7"/>
  </si>
  <si>
    <t>Texttemplate</t>
  </si>
  <si>
    <t>テキストテンプレートのテーブル</t>
    <phoneticPr fontId="7"/>
  </si>
  <si>
    <t>OtherPolicy</t>
  </si>
  <si>
    <t>他社証券のテーブル</t>
    <phoneticPr fontId="7"/>
  </si>
  <si>
    <t>Event</t>
  </si>
  <si>
    <t>対応履歴のテーブル</t>
    <rPh sb="0" eb="2">
      <t>タイオウ</t>
    </rPh>
    <rPh sb="2" eb="4">
      <t>リレキ</t>
    </rPh>
    <phoneticPr fontId="7"/>
  </si>
  <si>
    <t>代理店コード</t>
    <rPh sb="0" eb="3">
      <t>ダイリテン</t>
    </rPh>
    <phoneticPr fontId="1"/>
  </si>
  <si>
    <t xml:space="preserve"> </t>
    <phoneticPr fontId="1"/>
  </si>
  <si>
    <t>hankan1</t>
  </si>
  <si>
    <t>ProductName</t>
  </si>
  <si>
    <t>RegistrationDate</t>
  </si>
  <si>
    <t>AppChannel</t>
  </si>
  <si>
    <t>ContactNumber</t>
  </si>
  <si>
    <t>Email</t>
  </si>
  <si>
    <t>IntroduceHistory</t>
  </si>
  <si>
    <t>GroupCode</t>
  </si>
  <si>
    <t>GroupName</t>
  </si>
  <si>
    <t>Operator</t>
  </si>
  <si>
    <t>CustomerMemo</t>
  </si>
  <si>
    <t>PersonInChange</t>
  </si>
  <si>
    <t>EventOperator</t>
  </si>
  <si>
    <t>Status</t>
  </si>
  <si>
    <t>NextApp</t>
  </si>
  <si>
    <t>EventComment</t>
  </si>
  <si>
    <t>EventDetail</t>
  </si>
  <si>
    <t>Product</t>
  </si>
  <si>
    <t>EventMemo</t>
  </si>
  <si>
    <t>AccountMigrationId</t>
  </si>
  <si>
    <t>CompanyName</t>
  </si>
  <si>
    <t>ExpirationDate</t>
  </si>
  <si>
    <t>Relation</t>
  </si>
  <si>
    <t>Memo</t>
  </si>
  <si>
    <t>ContactId</t>
  </si>
  <si>
    <t>AgencyCode</t>
  </si>
  <si>
    <t>AgentEntryNumber</t>
  </si>
  <si>
    <t>SobjectType</t>
  </si>
  <si>
    <t>NAME</t>
  </si>
  <si>
    <t>Phone</t>
  </si>
  <si>
    <t>LastModifiedDate</t>
  </si>
  <si>
    <t>IsActive</t>
  </si>
  <si>
    <t>PARENTGROUP__C</t>
  </si>
  <si>
    <t>GROUPHIERARCHY__C</t>
  </si>
  <si>
    <t>GROUPCODE__C</t>
  </si>
  <si>
    <t>NAMEKANA__C</t>
  </si>
  <si>
    <t>BILLINGPOSTALCODE</t>
  </si>
  <si>
    <t>BILLINGCOUNTRY</t>
  </si>
  <si>
    <t>BILLINGSTATE</t>
  </si>
  <si>
    <t>BILLINGCITY</t>
  </si>
  <si>
    <t>BILLINGSTREET</t>
  </si>
  <si>
    <t>ADDRESSKANA__C</t>
  </si>
  <si>
    <t>PHONE</t>
  </si>
  <si>
    <t>FAX</t>
  </si>
  <si>
    <t>URL__C</t>
  </si>
  <si>
    <t>INDUSTRY__C</t>
  </si>
  <si>
    <t>BUSINESSDESCRIPTION__C</t>
  </si>
  <si>
    <t>NUMBEROFEMPLOYEES</t>
  </si>
  <si>
    <t>RETIREMENTAGE__C</t>
  </si>
  <si>
    <t>GROUPSTATUS__C</t>
  </si>
  <si>
    <t>GROUPREGISTRATIONDATE__C</t>
  </si>
  <si>
    <t>GROUPDEREGISTRATIONDATE__C</t>
  </si>
  <si>
    <t>PAPERWORKDEPARTMENT__C</t>
  </si>
  <si>
    <t>PAPERWORKPOSITION__C</t>
  </si>
  <si>
    <t>PAPERWORKSTAFF__C</t>
  </si>
  <si>
    <t>PAPERWORKTELNO__C</t>
  </si>
  <si>
    <t>PAPERWORKMAIL__C</t>
  </si>
  <si>
    <t>PAPERWORKMEMO__C</t>
  </si>
  <si>
    <t>RECRUITMENTDEPARTMENT__C</t>
  </si>
  <si>
    <t>RECRUITMENTPOSITION__C</t>
  </si>
  <si>
    <t>RECRUITMENTSTAFF__C</t>
  </si>
  <si>
    <t>RECRUITMENTTELNO__C</t>
  </si>
  <si>
    <t>RECRUITMENTMAIL__C</t>
  </si>
  <si>
    <t>RECRUITMENTMEMO__C</t>
  </si>
  <si>
    <t>OWNERID</t>
  </si>
  <si>
    <t>CREATEDBYID</t>
  </si>
  <si>
    <t>LASTMODIFIEDBYID</t>
  </si>
  <si>
    <t>RECORDTYPEID</t>
  </si>
  <si>
    <t>NAMEUPPERCASE__C</t>
  </si>
  <si>
    <t>NAMEUPPERCASEWITHOUTSPACE__C</t>
  </si>
  <si>
    <t>CREATEDDATE</t>
  </si>
  <si>
    <t>LASTMODIFIEDDATE</t>
  </si>
  <si>
    <t>MIGRATIONCUSTOMER_ID__PC</t>
  </si>
  <si>
    <t>LASTNAME</t>
  </si>
  <si>
    <t>FIRSTNAME</t>
  </si>
  <si>
    <t>FINSERV__GENDER__PC</t>
  </si>
  <si>
    <t>PERSONBIRTHDATE</t>
  </si>
  <si>
    <t>PERSONMAILINGPOSTALCODE</t>
  </si>
  <si>
    <t>PERSONMAILINGCOUNTRY</t>
  </si>
  <si>
    <t>PERSONMAILINGSTATE</t>
  </si>
  <si>
    <t>PERSONMAILINGCITY</t>
  </si>
  <si>
    <t>PERSONMAILINGSTREET</t>
  </si>
  <si>
    <t>ADDRESSKANA__PC</t>
  </si>
  <si>
    <t>PERSONEMAIL</t>
  </si>
  <si>
    <t>PERSONHOMEPHONE</t>
  </si>
  <si>
    <t>PERSONMOBILEPHONE</t>
  </si>
  <si>
    <t>WORKPHONE__PC</t>
  </si>
  <si>
    <t>PRIORITYPHONETYPE__C</t>
  </si>
  <si>
    <t>INTRODUCER__C</t>
  </si>
  <si>
    <t>PERSONALINFOUSEAGREEMENTDATE__PC</t>
  </si>
  <si>
    <t>GROUP_REF__C</t>
  </si>
  <si>
    <t>GROUP_SECOND_SECTION__C</t>
  </si>
  <si>
    <t>GROUP_THIRD_SECTION__C</t>
  </si>
  <si>
    <t>BELONGING_CODE__C</t>
  </si>
  <si>
    <t>EMPLOYEE_CODE__C</t>
  </si>
  <si>
    <t>PERSONTITLE</t>
  </si>
  <si>
    <t>LASTNAMEUPPERCASE__C</t>
  </si>
  <si>
    <t>LASTNAMEUPPERCASEWITHOUTSPACE__C</t>
  </si>
  <si>
    <t>FIRSTNAMEUPPERCASE__C</t>
  </si>
  <si>
    <t>FIRSTNAMEUPPERCASEWITHOUTSPACE__C</t>
  </si>
  <si>
    <t>NAMEKANAUPPERCASE__C</t>
  </si>
  <si>
    <t>NAMEKANAUPPERCASEWITHOUTSPACE__C</t>
  </si>
  <si>
    <t>ADDRESSTOTAL__C</t>
  </si>
  <si>
    <t>CONTACTID</t>
  </si>
  <si>
    <t>ROLES</t>
  </si>
  <si>
    <t>LIVINGTOGETHER__C</t>
  </si>
  <si>
    <t>RELATIONSHIP__C</t>
  </si>
  <si>
    <t>RELATIONSHIPOTHER__C</t>
  </si>
  <si>
    <t>RELATIONSHIPMEMO__C</t>
  </si>
  <si>
    <t>MIGRATIONACCOUNTCONTACT_ID__C</t>
  </si>
  <si>
    <t>DISPLAYNAME__C</t>
  </si>
  <si>
    <t>BACKGROUNDCOLOR__C</t>
  </si>
  <si>
    <t>DISPLAYORDER__C</t>
  </si>
  <si>
    <t>MIGRATIONCATEGORY_ID__C</t>
  </si>
  <si>
    <t>ISACTIVE__C</t>
  </si>
  <si>
    <t>MIGRATIONINCOMINGCHANNEL_LEADS_ID__C</t>
  </si>
  <si>
    <t>SALESOWNER__C</t>
  </si>
  <si>
    <t>MAINOPERATOR__C</t>
  </si>
  <si>
    <t>SUBOPERATOR__C</t>
  </si>
  <si>
    <t>GROUPMEMO__C</t>
  </si>
  <si>
    <t>COMMENT__C</t>
  </si>
  <si>
    <t>VARIOUSWARNINGS__C</t>
  </si>
  <si>
    <t>LIPSASREGISTRATION__C</t>
  </si>
  <si>
    <t>ISLATEST__C</t>
  </si>
  <si>
    <t>PERSONMOBILEPHONE__C</t>
  </si>
  <si>
    <t>PERSONHOMEPHONE__C</t>
  </si>
  <si>
    <t>WORKPHONE__C</t>
  </si>
  <si>
    <t>PERSONEMAIL__C</t>
  </si>
  <si>
    <t>PERSONTITLE__C</t>
  </si>
  <si>
    <t>PERSONALINFOUSEAGREEMENTDATE__C</t>
  </si>
  <si>
    <t>GROUPDIVISION__C</t>
  </si>
  <si>
    <t>NUMBEROFEMPLOYEES__C</t>
  </si>
  <si>
    <t>CONTRACTNUMBER__C</t>
  </si>
  <si>
    <t>AVAILABLEGROUPRIDERS__C</t>
  </si>
  <si>
    <t>RELATINGGROUP1__C</t>
  </si>
  <si>
    <t>RELATINGGROUP2__C</t>
  </si>
  <si>
    <t>POSTRETIREMENTGROUP1__C</t>
  </si>
  <si>
    <t>POSTRETIREMENTGROUP2__C</t>
  </si>
  <si>
    <t>NEWMEMBERSHIPCONDITIONS__C</t>
  </si>
  <si>
    <t>CONFIRMATIONPOINTSFORNEWMEMBERSHIP__C</t>
  </si>
  <si>
    <t>CONFIRMATIONPOINTSFORGROUPMEMBERSHIP__C</t>
  </si>
  <si>
    <t>CONFIRMATIONPOINTSUPONSALES__C</t>
  </si>
  <si>
    <t>CLIENTCLASSIFICATION1__C</t>
  </si>
  <si>
    <t>CLIENTCLASSIFICATION2__C</t>
  </si>
  <si>
    <t>CLIENTCLASSIFICATION3__C</t>
  </si>
  <si>
    <t>CLIENTCLASSIFICATION4__C</t>
  </si>
  <si>
    <t>CLIENTCLASSIFICATION5__C</t>
  </si>
  <si>
    <t>CLIENTCLASSIFICATION6__C</t>
  </si>
  <si>
    <t>CLIENTCLASSIFICATION7__C</t>
  </si>
  <si>
    <t>CLIENTCLASSIFICATION8__C</t>
  </si>
  <si>
    <t>CLIENTCLASSIFICATION9__C</t>
  </si>
  <si>
    <t>CLIENTCLASSIFICATION10__C</t>
  </si>
  <si>
    <t>CLIENTCLASSIFICATION11__C</t>
  </si>
  <si>
    <t>CLIENTCLASSIFICATION12__C</t>
  </si>
  <si>
    <t>CLIENTCLASSIFICATION13__C</t>
  </si>
  <si>
    <t>CLIENTCLASSIFICATION14__C</t>
  </si>
  <si>
    <t>CLIENTCLASSIFICATION15__C</t>
  </si>
  <si>
    <t>MEMO_MDM_PIC__C</t>
  </si>
  <si>
    <t>MIGRATIONACCOUNT_ID__C</t>
  </si>
  <si>
    <t>MIGRATIONCONTACTCLASS_ID__C</t>
  </si>
  <si>
    <t>TEMPLATE__C</t>
  </si>
  <si>
    <t>MIGRATIONTEMPLATENUMBER__C</t>
  </si>
  <si>
    <t>STATUS</t>
  </si>
  <si>
    <t>NEWOREXTENSIONFLAG__C</t>
  </si>
  <si>
    <t>INSURANCECOMPANY__C</t>
  </si>
  <si>
    <t>OTHERINSURANCECOMPANY__C</t>
  </si>
  <si>
    <t>ACCOUNTID__C</t>
  </si>
  <si>
    <t>CONTRACTDATE__C</t>
  </si>
  <si>
    <t>APPLICATIONDATE__C</t>
  </si>
  <si>
    <t>GROUPNAME__C</t>
  </si>
  <si>
    <t>POLICYNAME</t>
  </si>
  <si>
    <t>INSURANCETYPE__C</t>
  </si>
  <si>
    <t>POLICYTYPENOTES__C</t>
  </si>
  <si>
    <t>POLICYCHANGEREASON__C</t>
  </si>
  <si>
    <t>POLICYCHANGEORCANCELLATIONDATE__C</t>
  </si>
  <si>
    <t>NAMEINSUREDID</t>
  </si>
  <si>
    <t>PREMIUMAMOUNT</t>
  </si>
  <si>
    <t>POLICYTYPE__C</t>
  </si>
  <si>
    <t>PREMIUMFREQUENCY</t>
  </si>
  <si>
    <t>EXPIRATIONDATE</t>
  </si>
  <si>
    <t>AGENCYSHOPCODE__C</t>
  </si>
  <si>
    <t>DEPARTMENTCODE__C</t>
  </si>
  <si>
    <t>EMPLOYEECODE__C</t>
  </si>
  <si>
    <t>NOTES__C</t>
  </si>
  <si>
    <t>KANANAME__C</t>
  </si>
  <si>
    <t>KANJINAME__C</t>
  </si>
  <si>
    <t>SEX__C</t>
  </si>
  <si>
    <t>BIRTHDATE__C</t>
  </si>
  <si>
    <t>POLICYNUMBER__C</t>
  </si>
  <si>
    <t>KANANAMEUPPERCASE__C</t>
  </si>
  <si>
    <t>KANANAMEUPPERCASEWITHOUTSPACE__C</t>
  </si>
  <si>
    <t>KANJINAMEUPPERCASE__C</t>
  </si>
  <si>
    <t>KANJINAMEUPPERCASEWITHOUTSPACE__C</t>
  </si>
  <si>
    <t>INSUREDNAMEREFERENCE__C</t>
  </si>
  <si>
    <t>MEANS__C</t>
  </si>
  <si>
    <t>SUBJECT</t>
  </si>
  <si>
    <t>LOCATION</t>
  </si>
  <si>
    <t>STARTDATETIME</t>
  </si>
  <si>
    <t>ENDDATETIME</t>
  </si>
  <si>
    <t>AGENCYBRANCH__C</t>
  </si>
  <si>
    <t>DEPARTMENT__C</t>
  </si>
  <si>
    <t>DESCRIPTION</t>
  </si>
  <si>
    <t>EVENTCOMPLETED__C</t>
  </si>
  <si>
    <t>MANAGERCOMMENT__C</t>
  </si>
  <si>
    <t>REQUIRED__C</t>
  </si>
  <si>
    <t>CONTACTPERSON__C</t>
  </si>
  <si>
    <t>CONTACTCLASSNAME__C</t>
  </si>
  <si>
    <t>WHATID</t>
  </si>
  <si>
    <t>MIGRATIONCONTACTNUMBER__C</t>
  </si>
  <si>
    <t>CONTACTCLASSMASTERID__C</t>
  </si>
  <si>
    <t>顧客番号Set</t>
    <rPh sb="0" eb="2">
      <t>コキャク</t>
    </rPh>
    <rPh sb="2" eb="4">
      <t>バンゴウ</t>
    </rPh>
    <phoneticPr fontId="7"/>
  </si>
  <si>
    <t>移行用外部ID</t>
    <rPh sb="0" eb="5">
      <t>イコウヨウガイブ</t>
    </rPh>
    <phoneticPr fontId="7"/>
  </si>
  <si>
    <t>団体移行用外部ID</t>
    <rPh sb="0" eb="2">
      <t>ダンタイ</t>
    </rPh>
    <rPh sb="2" eb="7">
      <t>イコウヨウガイブ</t>
    </rPh>
    <phoneticPr fontId="7"/>
  </si>
  <si>
    <t>世帯の移行用外部ID</t>
    <rPh sb="0" eb="2">
      <t>セタイ</t>
    </rPh>
    <rPh sb="3" eb="8">
      <t>イコウヨウガイブ</t>
    </rPh>
    <phoneticPr fontId="7"/>
  </si>
  <si>
    <t>世帯主フラグ</t>
    <rPh sb="0" eb="3">
      <t>セタイシュ</t>
    </rPh>
    <phoneticPr fontId="7"/>
  </si>
  <si>
    <t>既契約者フラグ</t>
    <rPh sb="0" eb="4">
      <t>キケイヤクシャ</t>
    </rPh>
    <phoneticPr fontId="7"/>
  </si>
  <si>
    <t>家族メモ</t>
    <rPh sb="0" eb="2">
      <t>カゾク</t>
    </rPh>
    <phoneticPr fontId="7"/>
  </si>
  <si>
    <t>顧客番号</t>
    <phoneticPr fontId="7"/>
  </si>
  <si>
    <t>有効証券番号</t>
    <phoneticPr fontId="7"/>
  </si>
  <si>
    <t>商品名</t>
    <phoneticPr fontId="7"/>
  </si>
  <si>
    <t>代理店コード</t>
    <phoneticPr fontId="7"/>
  </si>
  <si>
    <t>登録日</t>
    <phoneticPr fontId="7"/>
  </si>
  <si>
    <t>申し込み経路</t>
    <phoneticPr fontId="7"/>
  </si>
  <si>
    <t>連絡先電話番号</t>
    <phoneticPr fontId="7"/>
  </si>
  <si>
    <t>Eメールアドレス</t>
    <phoneticPr fontId="7"/>
  </si>
  <si>
    <t>紹介歴</t>
    <phoneticPr fontId="7"/>
  </si>
  <si>
    <t>団体コード</t>
    <phoneticPr fontId="7"/>
  </si>
  <si>
    <t>団体名</t>
    <phoneticPr fontId="7"/>
  </si>
  <si>
    <t>担当者</t>
    <phoneticPr fontId="7"/>
  </si>
  <si>
    <t>給付歴：有無</t>
    <phoneticPr fontId="7"/>
  </si>
  <si>
    <t>給付歴：商品</t>
    <phoneticPr fontId="7"/>
  </si>
  <si>
    <t>謝絶歴：有無</t>
    <phoneticPr fontId="7"/>
  </si>
  <si>
    <t>謝絶歴：商品</t>
    <phoneticPr fontId="7"/>
  </si>
  <si>
    <t>任意グループ</t>
    <phoneticPr fontId="7"/>
  </si>
  <si>
    <t>お客様メモ</t>
    <phoneticPr fontId="7"/>
  </si>
  <si>
    <t>対応日</t>
    <phoneticPr fontId="7"/>
  </si>
  <si>
    <t>誰と</t>
    <phoneticPr fontId="7"/>
  </si>
  <si>
    <t>対応者</t>
    <phoneticPr fontId="7"/>
  </si>
  <si>
    <t>ステータス</t>
    <phoneticPr fontId="7"/>
  </si>
  <si>
    <t>次回アポ</t>
    <phoneticPr fontId="7"/>
  </si>
  <si>
    <t>対応内容</t>
    <phoneticPr fontId="7"/>
  </si>
  <si>
    <t>対応詳細</t>
    <phoneticPr fontId="7"/>
  </si>
  <si>
    <t>商品</t>
    <phoneticPr fontId="7"/>
  </si>
  <si>
    <t>対応メモ</t>
    <phoneticPr fontId="7"/>
  </si>
  <si>
    <t>顧客移行用外部ID</t>
    <phoneticPr fontId="7"/>
  </si>
  <si>
    <t>顧客名氏</t>
    <phoneticPr fontId="7"/>
  </si>
  <si>
    <t>会社名</t>
    <phoneticPr fontId="7"/>
  </si>
  <si>
    <t>証券番号</t>
    <phoneticPr fontId="7"/>
  </si>
  <si>
    <t>満期（更新）</t>
    <phoneticPr fontId="7"/>
  </si>
  <si>
    <t>氏名（カナ）</t>
    <phoneticPr fontId="7"/>
  </si>
  <si>
    <t>氏名（漢字）</t>
    <phoneticPr fontId="7"/>
  </si>
  <si>
    <t>生年月日</t>
    <phoneticPr fontId="7"/>
  </si>
  <si>
    <t>性別</t>
    <phoneticPr fontId="7"/>
  </si>
  <si>
    <t>続柄</t>
    <phoneticPr fontId="7"/>
  </si>
  <si>
    <t>メモ</t>
    <phoneticPr fontId="7"/>
  </si>
  <si>
    <t>名前</t>
    <phoneticPr fontId="7"/>
  </si>
  <si>
    <t>Contact Id</t>
    <phoneticPr fontId="7"/>
  </si>
  <si>
    <t>出先コード</t>
    <phoneticPr fontId="7"/>
  </si>
  <si>
    <t>募集人コード</t>
    <phoneticPr fontId="7"/>
  </si>
  <si>
    <t>オブジェクトタイプ</t>
    <phoneticPr fontId="7"/>
  </si>
  <si>
    <t>氏名カナ</t>
    <phoneticPr fontId="7"/>
  </si>
  <si>
    <t>郵便番号</t>
    <phoneticPr fontId="7"/>
  </si>
  <si>
    <t>電話番号</t>
    <phoneticPr fontId="7"/>
  </si>
  <si>
    <t>住所</t>
    <phoneticPr fontId="7"/>
  </si>
  <si>
    <t>既契約者の外部ID</t>
    <phoneticPr fontId="7"/>
  </si>
  <si>
    <t>最終更新日</t>
    <phoneticPr fontId="7"/>
  </si>
  <si>
    <t>有効</t>
    <phoneticPr fontId="7"/>
  </si>
  <si>
    <t>団体の移行用外部ID</t>
    <phoneticPr fontId="7"/>
  </si>
  <si>
    <t>団体移行用外部ID</t>
    <phoneticPr fontId="7"/>
  </si>
  <si>
    <t>親団体</t>
    <phoneticPr fontId="7"/>
  </si>
  <si>
    <t>階層</t>
    <phoneticPr fontId="7"/>
  </si>
  <si>
    <t>団体 / 集団コード</t>
    <phoneticPr fontId="7"/>
  </si>
  <si>
    <t>取引先名</t>
    <phoneticPr fontId="7"/>
  </si>
  <si>
    <t>郵便番号(請求先)</t>
    <phoneticPr fontId="7"/>
  </si>
  <si>
    <t>国(請求先)</t>
    <phoneticPr fontId="7"/>
  </si>
  <si>
    <t>都道府県(請求先)</t>
    <phoneticPr fontId="7"/>
  </si>
  <si>
    <t>市区郡(請求先)</t>
    <phoneticPr fontId="7"/>
  </si>
  <si>
    <t>町名・番地(請求先)</t>
    <phoneticPr fontId="7"/>
  </si>
  <si>
    <t>住所カナ</t>
    <phoneticPr fontId="7"/>
  </si>
  <si>
    <t>取引先 電話</t>
    <phoneticPr fontId="7"/>
  </si>
  <si>
    <t>取引先 Fax</t>
    <phoneticPr fontId="7"/>
  </si>
  <si>
    <t>URL</t>
    <phoneticPr fontId="7"/>
  </si>
  <si>
    <t>業種</t>
    <phoneticPr fontId="7"/>
  </si>
  <si>
    <t>業務内容</t>
    <phoneticPr fontId="7"/>
  </si>
  <si>
    <t>従業員数</t>
    <phoneticPr fontId="7"/>
  </si>
  <si>
    <t>契約人数</t>
    <phoneticPr fontId="7"/>
  </si>
  <si>
    <t>定年年齢</t>
    <phoneticPr fontId="7"/>
  </si>
  <si>
    <t>団体ステータス</t>
    <phoneticPr fontId="7"/>
  </si>
  <si>
    <t>団体登録日</t>
    <phoneticPr fontId="7"/>
  </si>
  <si>
    <t>団体解除日</t>
    <phoneticPr fontId="7"/>
  </si>
  <si>
    <t>事務担当窓口部署</t>
    <phoneticPr fontId="7"/>
  </si>
  <si>
    <t>事務担当窓口役職</t>
    <phoneticPr fontId="7"/>
  </si>
  <si>
    <t>事務担当窓口</t>
    <phoneticPr fontId="7"/>
  </si>
  <si>
    <t>事務担当窓口電話番号</t>
    <phoneticPr fontId="7"/>
  </si>
  <si>
    <t>事務担当窓口メール</t>
    <phoneticPr fontId="7"/>
  </si>
  <si>
    <t>事務担当窓口メモ</t>
    <phoneticPr fontId="7"/>
  </si>
  <si>
    <t>募集担当窓口部署</t>
    <phoneticPr fontId="7"/>
  </si>
  <si>
    <t>募集担当窓口役職</t>
    <phoneticPr fontId="7"/>
  </si>
  <si>
    <t>募集担当窓口</t>
    <phoneticPr fontId="7"/>
  </si>
  <si>
    <t>募集担当窓口電話番号</t>
    <phoneticPr fontId="7"/>
  </si>
  <si>
    <t>募集担当窓口メール</t>
    <phoneticPr fontId="7"/>
  </si>
  <si>
    <t>募集担当窓口メモ</t>
    <phoneticPr fontId="7"/>
  </si>
  <si>
    <t>所有者</t>
    <phoneticPr fontId="7"/>
  </si>
  <si>
    <t>作成者</t>
    <phoneticPr fontId="7"/>
  </si>
  <si>
    <t>最終更新者</t>
    <phoneticPr fontId="7"/>
  </si>
  <si>
    <t>レコードタイプ</t>
    <phoneticPr fontId="7"/>
  </si>
  <si>
    <t>取引先名(大文字)</t>
    <phoneticPr fontId="7"/>
  </si>
  <si>
    <t>取引先名(大文字・スペースなし)</t>
    <phoneticPr fontId="7"/>
  </si>
  <si>
    <t>移行用顧客ID</t>
    <phoneticPr fontId="7"/>
  </si>
  <si>
    <t>姓</t>
    <phoneticPr fontId="7"/>
  </si>
  <si>
    <t>名</t>
    <phoneticPr fontId="7"/>
  </si>
  <si>
    <t>氏名フリガナ</t>
    <phoneticPr fontId="7"/>
  </si>
  <si>
    <t>誕生日</t>
    <phoneticPr fontId="7"/>
  </si>
  <si>
    <t>郵便番号(郵送先)</t>
    <phoneticPr fontId="7"/>
  </si>
  <si>
    <t>国(郵送先)</t>
    <phoneticPr fontId="7"/>
  </si>
  <si>
    <t>都道府県(郵送先)</t>
    <phoneticPr fontId="7"/>
  </si>
  <si>
    <t>市区郡(郵送先)</t>
    <phoneticPr fontId="7"/>
  </si>
  <si>
    <t>町名・番地(郵送先)</t>
    <phoneticPr fontId="7"/>
  </si>
  <si>
    <t>メール</t>
    <phoneticPr fontId="7"/>
  </si>
  <si>
    <t>自宅電話</t>
    <phoneticPr fontId="7"/>
  </si>
  <si>
    <t>携帯</t>
    <phoneticPr fontId="7"/>
  </si>
  <si>
    <t>勤務先電話</t>
    <phoneticPr fontId="7"/>
  </si>
  <si>
    <t>優先電話種別</t>
    <phoneticPr fontId="7"/>
  </si>
  <si>
    <t>所有者 ID</t>
    <phoneticPr fontId="7"/>
  </si>
  <si>
    <t>紹介者</t>
    <phoneticPr fontId="7"/>
  </si>
  <si>
    <t>個人情報の利用に関する同意取得日</t>
    <phoneticPr fontId="7"/>
  </si>
  <si>
    <t>団体</t>
    <phoneticPr fontId="7"/>
  </si>
  <si>
    <t>団体第2階層</t>
    <phoneticPr fontId="7"/>
  </si>
  <si>
    <t>団体第3階層</t>
    <phoneticPr fontId="7"/>
  </si>
  <si>
    <t>所属コード</t>
    <phoneticPr fontId="7"/>
  </si>
  <si>
    <t>社員コード</t>
    <phoneticPr fontId="7"/>
  </si>
  <si>
    <t>役職</t>
    <phoneticPr fontId="7"/>
  </si>
  <si>
    <t>作成者 ID</t>
    <phoneticPr fontId="7"/>
  </si>
  <si>
    <t>最終更新者 ID</t>
    <phoneticPr fontId="7"/>
  </si>
  <si>
    <t>レコードタイプ ID</t>
    <phoneticPr fontId="7"/>
  </si>
  <si>
    <t>姓(大文字)</t>
    <phoneticPr fontId="7"/>
  </si>
  <si>
    <t>姓(大文字・スペースなし)</t>
    <phoneticPr fontId="7"/>
  </si>
  <si>
    <t>名(大文字)</t>
    <phoneticPr fontId="7"/>
  </si>
  <si>
    <t>名(大文字・スペースなし)</t>
    <phoneticPr fontId="7"/>
  </si>
  <si>
    <t>氏名フリガナ(大文字)</t>
    <phoneticPr fontId="7"/>
  </si>
  <si>
    <t>氏名フリガナ(大文字・スペースなし)</t>
    <phoneticPr fontId="7"/>
  </si>
  <si>
    <t>住所(全量)</t>
    <phoneticPr fontId="7"/>
  </si>
  <si>
    <t>取引先責任者</t>
    <phoneticPr fontId="7"/>
  </si>
  <si>
    <t>ロール</t>
    <phoneticPr fontId="7"/>
  </si>
  <si>
    <t>同居</t>
    <phoneticPr fontId="7"/>
  </si>
  <si>
    <t>続柄その他</t>
    <phoneticPr fontId="7"/>
  </si>
  <si>
    <t>関係メモ</t>
    <phoneticPr fontId="7"/>
  </si>
  <si>
    <t>移行用世帯顧客番号</t>
    <phoneticPr fontId="7"/>
  </si>
  <si>
    <t>顧客分類マスタ名</t>
    <phoneticPr fontId="7"/>
  </si>
  <si>
    <t>表示名</t>
    <phoneticPr fontId="7"/>
  </si>
  <si>
    <t>背景色</t>
    <phoneticPr fontId="7"/>
  </si>
  <si>
    <t>表示順</t>
    <phoneticPr fontId="7"/>
  </si>
  <si>
    <t>移行用分類ID</t>
    <phoneticPr fontId="7"/>
  </si>
  <si>
    <t>受付経路 / リーズ元名</t>
    <phoneticPr fontId="7"/>
  </si>
  <si>
    <t>有効フラグ</t>
    <phoneticPr fontId="7"/>
  </si>
  <si>
    <t>移行用受付経路 / リーズ元番号</t>
    <phoneticPr fontId="7"/>
  </si>
  <si>
    <t>営業担当者</t>
    <phoneticPr fontId="7"/>
  </si>
  <si>
    <t>メイン担当</t>
    <phoneticPr fontId="7"/>
  </si>
  <si>
    <t>サブ担当</t>
    <phoneticPr fontId="7"/>
  </si>
  <si>
    <t>団体メモ</t>
    <phoneticPr fontId="7"/>
  </si>
  <si>
    <t>コメント</t>
    <phoneticPr fontId="7"/>
  </si>
  <si>
    <t>各種注意事項</t>
    <phoneticPr fontId="7"/>
  </si>
  <si>
    <t>LIPSAS登録情報</t>
    <phoneticPr fontId="7"/>
  </si>
  <si>
    <t>最新フラグ</t>
    <phoneticPr fontId="7"/>
  </si>
  <si>
    <t>団体第２階層</t>
    <phoneticPr fontId="7"/>
  </si>
  <si>
    <t>団体第３階層</t>
    <phoneticPr fontId="7"/>
  </si>
  <si>
    <t>団体区分</t>
    <phoneticPr fontId="7"/>
  </si>
  <si>
    <t>団体特約種類</t>
    <phoneticPr fontId="7"/>
  </si>
  <si>
    <t>関連団体1</t>
    <phoneticPr fontId="7"/>
  </si>
  <si>
    <t>関連団体2</t>
    <phoneticPr fontId="7"/>
  </si>
  <si>
    <t>退職後団体1</t>
    <phoneticPr fontId="7"/>
  </si>
  <si>
    <t>退職後団体2</t>
    <phoneticPr fontId="7"/>
  </si>
  <si>
    <t>新規・転入条件</t>
    <phoneticPr fontId="7"/>
  </si>
  <si>
    <t>新規・転入時の注意点</t>
    <phoneticPr fontId="7"/>
  </si>
  <si>
    <t>所属確認時の注意点</t>
    <phoneticPr fontId="7"/>
  </si>
  <si>
    <t>募集時の注意点</t>
    <phoneticPr fontId="7"/>
  </si>
  <si>
    <t>顧客分類1</t>
    <phoneticPr fontId="7"/>
  </si>
  <si>
    <t>顧客分類2</t>
    <phoneticPr fontId="7"/>
  </si>
  <si>
    <t>顧客分類3</t>
    <phoneticPr fontId="7"/>
  </si>
  <si>
    <t>顧客分類4</t>
    <phoneticPr fontId="7"/>
  </si>
  <si>
    <t>顧客分類5</t>
    <phoneticPr fontId="7"/>
  </si>
  <si>
    <t>顧客分類6</t>
    <phoneticPr fontId="7"/>
  </si>
  <si>
    <t>顧客分類7</t>
    <phoneticPr fontId="7"/>
  </si>
  <si>
    <t>顧客分類8</t>
    <phoneticPr fontId="7"/>
  </si>
  <si>
    <t>顧客分類9</t>
    <phoneticPr fontId="7"/>
  </si>
  <si>
    <t>顧客分類10</t>
    <phoneticPr fontId="7"/>
  </si>
  <si>
    <t>顧客分類11</t>
    <phoneticPr fontId="7"/>
  </si>
  <si>
    <t>顧客分類12</t>
    <phoneticPr fontId="7"/>
  </si>
  <si>
    <t>顧客分類13</t>
    <phoneticPr fontId="7"/>
  </si>
  <si>
    <t>顧客分類14</t>
    <phoneticPr fontId="7"/>
  </si>
  <si>
    <t>顧客分類15</t>
    <phoneticPr fontId="7"/>
  </si>
  <si>
    <t>販管担当者</t>
    <phoneticPr fontId="7"/>
  </si>
  <si>
    <t>移行用顧客番号</t>
    <phoneticPr fontId="7"/>
  </si>
  <si>
    <t>対応種別マスタ名</t>
    <phoneticPr fontId="7"/>
  </si>
  <si>
    <t>移行用対応種別番号</t>
    <phoneticPr fontId="7"/>
  </si>
  <si>
    <t>テキストテンプレート名</t>
    <phoneticPr fontId="7"/>
  </si>
  <si>
    <t>定型文</t>
    <phoneticPr fontId="7"/>
  </si>
  <si>
    <t>移行用テンプレート番号</t>
    <phoneticPr fontId="7"/>
  </si>
  <si>
    <t>状況</t>
    <phoneticPr fontId="7"/>
  </si>
  <si>
    <t>新規・継続区分</t>
    <phoneticPr fontId="7"/>
  </si>
  <si>
    <t>保険会社</t>
    <phoneticPr fontId="7"/>
  </si>
  <si>
    <t>保険会社その他</t>
    <phoneticPr fontId="7"/>
  </si>
  <si>
    <t>契約者名</t>
    <phoneticPr fontId="7"/>
  </si>
  <si>
    <t>契約日</t>
    <phoneticPr fontId="7"/>
  </si>
  <si>
    <t>申込日</t>
    <phoneticPr fontId="7"/>
  </si>
  <si>
    <t>保険契約名</t>
    <phoneticPr fontId="7"/>
  </si>
  <si>
    <t>保険種類</t>
    <phoneticPr fontId="7"/>
  </si>
  <si>
    <t>保険種類メモ</t>
    <phoneticPr fontId="7"/>
  </si>
  <si>
    <t>異動事由</t>
    <phoneticPr fontId="7"/>
  </si>
  <si>
    <t>異動・解約日</t>
    <phoneticPr fontId="7"/>
  </si>
  <si>
    <t>記名被保険者</t>
    <phoneticPr fontId="7"/>
  </si>
  <si>
    <t>保険料</t>
    <phoneticPr fontId="7"/>
  </si>
  <si>
    <t>契約区分</t>
    <phoneticPr fontId="7"/>
  </si>
  <si>
    <t>保険料支払頻度</t>
    <phoneticPr fontId="7"/>
  </si>
  <si>
    <t>満期日</t>
    <phoneticPr fontId="7"/>
  </si>
  <si>
    <t>代理店出先コード</t>
    <phoneticPr fontId="7"/>
  </si>
  <si>
    <t>所有者 氏名</t>
    <phoneticPr fontId="7"/>
  </si>
  <si>
    <t>被保険者カナ氏名</t>
    <phoneticPr fontId="7"/>
  </si>
  <si>
    <t>漢字氏名</t>
    <phoneticPr fontId="7"/>
  </si>
  <si>
    <t>被保険者性別</t>
    <phoneticPr fontId="7"/>
  </si>
  <si>
    <t>被保険者生年月日</t>
    <phoneticPr fontId="7"/>
  </si>
  <si>
    <t>証券番号(キー)</t>
    <phoneticPr fontId="7"/>
  </si>
  <si>
    <t>カナ氏名(大文字)</t>
    <phoneticPr fontId="7"/>
  </si>
  <si>
    <t>カナ氏名(大文字・スペースなし)</t>
    <phoneticPr fontId="7"/>
  </si>
  <si>
    <t>漢字氏名(大文字)</t>
    <phoneticPr fontId="7"/>
  </si>
  <si>
    <t>漢字氏名(大文字・スペースなし)</t>
    <phoneticPr fontId="7"/>
  </si>
  <si>
    <t>被保険者</t>
    <phoneticPr fontId="7"/>
  </si>
  <si>
    <t>対応手段</t>
    <phoneticPr fontId="7"/>
  </si>
  <si>
    <t>件名</t>
    <phoneticPr fontId="7"/>
  </si>
  <si>
    <t>場所</t>
    <phoneticPr fontId="7"/>
  </si>
  <si>
    <t>開始日時</t>
    <phoneticPr fontId="7"/>
  </si>
  <si>
    <t>対応出先</t>
    <phoneticPr fontId="7"/>
  </si>
  <si>
    <t>対応部署</t>
    <phoneticPr fontId="7"/>
  </si>
  <si>
    <t>説明</t>
    <phoneticPr fontId="7"/>
  </si>
  <si>
    <t>対応完了</t>
    <phoneticPr fontId="7"/>
  </si>
  <si>
    <t>管理者コメント</t>
    <phoneticPr fontId="7"/>
  </si>
  <si>
    <t>レコードタイプID</t>
    <phoneticPr fontId="7"/>
  </si>
  <si>
    <t>必須</t>
    <phoneticPr fontId="7"/>
  </si>
  <si>
    <t>対応相手</t>
    <phoneticPr fontId="7"/>
  </si>
  <si>
    <t>対応種別名称</t>
    <phoneticPr fontId="7"/>
  </si>
  <si>
    <t>関連先 ID</t>
    <phoneticPr fontId="7"/>
  </si>
  <si>
    <t>移行用対応履歴番号</t>
    <phoneticPr fontId="7"/>
  </si>
  <si>
    <t>対応種別ID</t>
    <phoneticPr fontId="7"/>
  </si>
  <si>
    <t>C:\H2\data\hankanCampsDb</t>
    <phoneticPr fontId="1"/>
  </si>
  <si>
    <t>代理店コード</t>
    <phoneticPr fontId="1"/>
  </si>
  <si>
    <t>AssociateCode</t>
    <phoneticPr fontId="1"/>
  </si>
  <si>
    <t>ASSOCIATECODE__C</t>
    <phoneticPr fontId="1"/>
  </si>
  <si>
    <t>ASSOCIATECODE__PC</t>
    <phoneticPr fontId="1"/>
  </si>
  <si>
    <t>org</t>
    <phoneticPr fontId="1"/>
  </si>
  <si>
    <t>NewAccount</t>
    <phoneticPr fontId="1"/>
  </si>
  <si>
    <t>MIGRATIONACCOUNT_ID__C</t>
    <phoneticPr fontId="1"/>
  </si>
  <si>
    <t>移行用取引先外部ID</t>
    <phoneticPr fontId="7"/>
  </si>
  <si>
    <t>associatecode</t>
  </si>
  <si>
    <t>代理店コード</t>
  </si>
  <si>
    <t>name</t>
  </si>
  <si>
    <t>User Id</t>
    <phoneticPr fontId="7"/>
  </si>
  <si>
    <t>Id</t>
    <phoneticPr fontId="7"/>
  </si>
  <si>
    <t>AssociateCode</t>
    <phoneticPr fontId="1"/>
  </si>
  <si>
    <t>顧客</t>
    <phoneticPr fontId="7"/>
  </si>
  <si>
    <t>代理店</t>
    <phoneticPr fontId="7"/>
  </si>
  <si>
    <t>移行用証券番号</t>
    <phoneticPr fontId="7"/>
  </si>
  <si>
    <t>世帯（顧客）</t>
    <phoneticPr fontId="7"/>
  </si>
  <si>
    <t>ASSOCIATECODE__C</t>
  </si>
  <si>
    <t>ASSOCIATECODE__PC</t>
  </si>
  <si>
    <t>No</t>
    <phoneticPr fontId="1"/>
  </si>
  <si>
    <t>番号</t>
    <phoneticPr fontId="7"/>
  </si>
  <si>
    <t>hankan4</t>
    <phoneticPr fontId="1"/>
  </si>
  <si>
    <t>Id</t>
    <phoneticPr fontId="1"/>
  </si>
  <si>
    <t>ACCOUNTID</t>
    <phoneticPr fontId="1"/>
  </si>
  <si>
    <t>AGENCY__C</t>
    <phoneticPr fontId="1"/>
  </si>
  <si>
    <t>PERSONACCOUNT__C</t>
    <phoneticPr fontId="1"/>
  </si>
  <si>
    <t>MIGRATIONPOLICYNUMBER__C</t>
    <phoneticPr fontId="1"/>
  </si>
  <si>
    <t>FINSERV__HOUSEHOLD__C</t>
    <phoneticPr fontId="1"/>
  </si>
  <si>
    <t>UserId</t>
    <phoneticPr fontId="7"/>
  </si>
  <si>
    <t>AssociateInfo</t>
    <phoneticPr fontId="1"/>
  </si>
  <si>
    <t>AgencyCode</t>
    <phoneticPr fontId="1"/>
  </si>
  <si>
    <t>ContactClassMaster</t>
    <phoneticPr fontId="1"/>
  </si>
  <si>
    <t>RecordType</t>
    <phoneticPr fontId="1"/>
  </si>
  <si>
    <t>販管1データのテーブル(hankan1)</t>
  </si>
  <si>
    <t>customerno</t>
  </si>
  <si>
    <t>namekana</t>
  </si>
  <si>
    <t>sex</t>
  </si>
  <si>
    <t>postalcode</t>
  </si>
  <si>
    <t>address</t>
  </si>
  <si>
    <t>homephone</t>
  </si>
  <si>
    <t>policynumber</t>
  </si>
  <si>
    <t>birthday</t>
  </si>
  <si>
    <t>customernoset</t>
  </si>
  <si>
    <t>顧客番号Set</t>
  </si>
  <si>
    <t>migrationid</t>
  </si>
  <si>
    <t>移行用外部ID</t>
  </si>
  <si>
    <t>groupmigrationid</t>
  </si>
  <si>
    <t>団体移行用外部ID</t>
  </si>
  <si>
    <t>familymigrationid</t>
  </si>
  <si>
    <t>世帯の移行用外部ID</t>
  </si>
  <si>
    <t>isfamilyowner</t>
  </si>
  <si>
    <t>世帯主フラグ</t>
  </si>
  <si>
    <t>isexistingcontract</t>
  </si>
  <si>
    <t>既契約者フラグ</t>
  </si>
  <si>
    <t>familymemo</t>
  </si>
  <si>
    <t>家族メモ</t>
  </si>
  <si>
    <t>associatecode</t>
    <phoneticPr fontId="1"/>
  </si>
  <si>
    <t>ClientClassificationMaster</t>
    <phoneticPr fontId="1"/>
  </si>
  <si>
    <t>Texttemplate</t>
    <phoneticPr fontId="1"/>
  </si>
  <si>
    <t>GroupSalesAssociate</t>
    <phoneticPr fontId="1"/>
  </si>
  <si>
    <t>CONTRACTNUMBER__C</t>
    <phoneticPr fontId="1"/>
  </si>
  <si>
    <t>CustomerNotes</t>
    <phoneticPr fontId="1"/>
  </si>
  <si>
    <t>OtherPolicy</t>
    <phoneticPr fontId="1"/>
  </si>
  <si>
    <t>MigrationId</t>
    <phoneticPr fontId="1"/>
  </si>
  <si>
    <t>AssociateCode</t>
    <phoneticPr fontId="1"/>
  </si>
  <si>
    <t>CustomerNoSet</t>
    <phoneticPr fontId="1"/>
  </si>
  <si>
    <t>Name</t>
    <phoneticPr fontId="1"/>
  </si>
  <si>
    <t>氏名（漢字）</t>
    <phoneticPr fontId="1"/>
  </si>
  <si>
    <t>Event</t>
    <phoneticPr fontId="1"/>
  </si>
  <si>
    <t>AccountName</t>
    <phoneticPr fontId="1"/>
  </si>
  <si>
    <t>associateCode, nameKana, birthday DESC, sex, postalCode DESC, customerNo</t>
  </si>
  <si>
    <t>GroupMigrationId</t>
    <phoneticPr fontId="1"/>
  </si>
  <si>
    <t>IsFamilyOwner</t>
    <phoneticPr fontId="1"/>
  </si>
  <si>
    <t>FamilyMigrationId</t>
    <phoneticPr fontId="1"/>
  </si>
  <si>
    <t>BenefitReceiptHistoryFlag</t>
    <phoneticPr fontId="1"/>
  </si>
  <si>
    <t>BenefitReceiptHistoryProduct</t>
    <phoneticPr fontId="1"/>
  </si>
  <si>
    <t>RefusalHistoryFlag</t>
    <phoneticPr fontId="1"/>
  </si>
  <si>
    <t>RefusalHistoryProduct</t>
    <phoneticPr fontId="1"/>
  </si>
  <si>
    <t>AnyGroup</t>
    <phoneticPr fontId="1"/>
  </si>
  <si>
    <t>name like '%未設定%'</t>
    <rPh sb="12" eb="15">
      <t>ミセッテイ</t>
    </rPh>
    <phoneticPr fontId="1"/>
  </si>
  <si>
    <t>name = '白地' and sobjecttype = 'Account'</t>
    <phoneticPr fontId="1"/>
  </si>
  <si>
    <t>AccountMigrationId</t>
    <phoneticPr fontId="1"/>
  </si>
  <si>
    <t>CustomerNo in ('P35791351001', 'P35791351004')</t>
    <phoneticPr fontId="1"/>
  </si>
  <si>
    <t>EventDate</t>
    <phoneticPr fontId="1"/>
  </si>
  <si>
    <t>A08007278371</t>
    <phoneticPr fontId="1"/>
  </si>
  <si>
    <t>CustomerNo</t>
    <phoneticPr fontId="1"/>
  </si>
  <si>
    <t>relation</t>
  </si>
  <si>
    <t>otherrelation</t>
  </si>
  <si>
    <t>relation</t>
    <phoneticPr fontId="1"/>
  </si>
  <si>
    <t>otherrelation</t>
    <phoneticPr fontId="1"/>
  </si>
  <si>
    <t>続柄その他</t>
  </si>
  <si>
    <t>続柄その他</t>
    <rPh sb="0" eb="2">
      <t>ゾクガラ</t>
    </rPh>
    <rPh sb="4" eb="5">
      <t>タ</t>
    </rPh>
    <phoneticPr fontId="7"/>
  </si>
  <si>
    <t>続柄</t>
  </si>
  <si>
    <t>続柄</t>
    <phoneticPr fontId="1"/>
  </si>
  <si>
    <t>CAMPS 代理店出先情報のテーブル(AssociateInfo)</t>
  </si>
  <si>
    <t>id</t>
  </si>
  <si>
    <t>Id</t>
  </si>
  <si>
    <t>agencycode</t>
  </si>
  <si>
    <t>出先コード</t>
  </si>
  <si>
    <t>名前</t>
  </si>
  <si>
    <t>CAMPSユーザ情報のテーブル(UserInfo)</t>
  </si>
  <si>
    <t>userid</t>
  </si>
  <si>
    <t>User Id</t>
  </si>
  <si>
    <t>contactid</t>
  </si>
  <si>
    <t>Contact Id</t>
  </si>
  <si>
    <t>agententrynumber</t>
  </si>
  <si>
    <t>募集人コード</t>
  </si>
  <si>
    <t>販管2データのテーブル(hankan2)</t>
  </si>
  <si>
    <t>有効証券番号</t>
  </si>
  <si>
    <t>productname</t>
  </si>
  <si>
    <t>商品名</t>
  </si>
  <si>
    <t>販管3データのテーブル(hankan3)</t>
  </si>
  <si>
    <t>no</t>
  </si>
  <si>
    <t>番号</t>
  </si>
  <si>
    <t>registrationdate</t>
  </si>
  <si>
    <t>登録日</t>
  </si>
  <si>
    <t>appchannel</t>
  </si>
  <si>
    <t>申し込み経路</t>
  </si>
  <si>
    <t>contactnumber</t>
  </si>
  <si>
    <t>連絡先電話番号</t>
  </si>
  <si>
    <t>email</t>
  </si>
  <si>
    <t>Eメールアドレス</t>
  </si>
  <si>
    <t>introducehistory</t>
  </si>
  <si>
    <t>紹介歴</t>
  </si>
  <si>
    <t>groupcode</t>
  </si>
  <si>
    <t>団体コード</t>
  </si>
  <si>
    <t>groupname</t>
  </si>
  <si>
    <t>団体名</t>
  </si>
  <si>
    <t>operator</t>
  </si>
  <si>
    <t>担当者</t>
  </si>
  <si>
    <t>benefitreceipthistoryflag</t>
  </si>
  <si>
    <t>給付歴：有無</t>
  </si>
  <si>
    <t>benefitreceipthistoryproduct</t>
  </si>
  <si>
    <t>給付歴：商品</t>
  </si>
  <si>
    <t>refusalhistoryflag</t>
  </si>
  <si>
    <t>謝絶歴：有無</t>
  </si>
  <si>
    <t>refusalhistoryproduct</t>
  </si>
  <si>
    <t>謝絶歴：商品</t>
  </si>
  <si>
    <t>anygroup</t>
  </si>
  <si>
    <t>任意グループ</t>
  </si>
  <si>
    <t>customermemo</t>
  </si>
  <si>
    <t>お客様メモ</t>
  </si>
  <si>
    <t>販管4データのテーブル(hankan4)</t>
  </si>
  <si>
    <t>eventdate</t>
  </si>
  <si>
    <t>対応日</t>
  </si>
  <si>
    <t>personinchange</t>
  </si>
  <si>
    <t>誰と</t>
  </si>
  <si>
    <t>eventoperator</t>
  </si>
  <si>
    <t>対応者</t>
  </si>
  <si>
    <t>status</t>
  </si>
  <si>
    <t>ステータス</t>
  </si>
  <si>
    <t>nextapp</t>
  </si>
  <si>
    <t>次回アポ</t>
  </si>
  <si>
    <t>eventcomment</t>
  </si>
  <si>
    <t>対応内容</t>
  </si>
  <si>
    <t>eventdetail</t>
  </si>
  <si>
    <t>対応詳細</t>
  </si>
  <si>
    <t>product</t>
  </si>
  <si>
    <t>商品</t>
  </si>
  <si>
    <t>eventmemo</t>
  </si>
  <si>
    <t>対応メモ</t>
  </si>
  <si>
    <t>accountmigrationid</t>
  </si>
  <si>
    <t>顧客移行用外部ID</t>
  </si>
  <si>
    <t>accountname</t>
  </si>
  <si>
    <t>顧客名氏</t>
  </si>
  <si>
    <t>販管5データのテーブル(hankan5)</t>
  </si>
  <si>
    <t>companyname</t>
  </si>
  <si>
    <t>会社名</t>
  </si>
  <si>
    <t>証券番号</t>
  </si>
  <si>
    <t>expirationdate</t>
  </si>
  <si>
    <t>満期（更新）</t>
  </si>
  <si>
    <t>販管6データのテーブル(hankan6)</t>
  </si>
  <si>
    <t>氏名（カナ）</t>
  </si>
  <si>
    <t>memo</t>
  </si>
  <si>
    <t>メモ</t>
  </si>
  <si>
    <t>CAMPS レコードタイプマスタのテーブル(RecordType)</t>
  </si>
  <si>
    <t>sobjecttype</t>
  </si>
  <si>
    <t>オブジェクトタイプ</t>
  </si>
  <si>
    <t>CAMPS　既契約者情報のテーブル(ExistingContractInfo)</t>
  </si>
  <si>
    <t>氏名カナ</t>
  </si>
  <si>
    <t>phone</t>
  </si>
  <si>
    <t>電話番号</t>
  </si>
  <si>
    <t>既契約者の外部ID</t>
  </si>
  <si>
    <t>lastmodifieddate</t>
  </si>
  <si>
    <t>最終更新日</t>
  </si>
  <si>
    <t>isactive</t>
  </si>
  <si>
    <t>有効</t>
  </si>
  <si>
    <t>団体の移行用外部ID</t>
  </si>
  <si>
    <t>CAMPS 団体担当代理店情報のテーブル(GroupSalesAssociate)</t>
  </si>
  <si>
    <t>白地団体のテーブル(org)</t>
  </si>
  <si>
    <t>migrationaccount_id__c</t>
  </si>
  <si>
    <t>移行用取引先外部ID</t>
  </si>
  <si>
    <t>parentgroup__c</t>
  </si>
  <si>
    <t>親団体</t>
  </si>
  <si>
    <t>grouphierarchy__c</t>
  </si>
  <si>
    <t>階層</t>
  </si>
  <si>
    <t>groupcode__c</t>
  </si>
  <si>
    <t>団体 / 集団コード</t>
  </si>
  <si>
    <t>namekana__c</t>
  </si>
  <si>
    <t>取引先名</t>
  </si>
  <si>
    <t>billingpostalcode</t>
  </si>
  <si>
    <t>郵便番号(請求先)</t>
  </si>
  <si>
    <t>billingcountry</t>
  </si>
  <si>
    <t>国(請求先)</t>
  </si>
  <si>
    <t>billingstate</t>
  </si>
  <si>
    <t>都道府県(請求先)</t>
  </si>
  <si>
    <t>billingcity</t>
  </si>
  <si>
    <t>市区郡(請求先)</t>
  </si>
  <si>
    <t>billingstreet</t>
  </si>
  <si>
    <t>町名・番地(請求先)</t>
  </si>
  <si>
    <t>addresskana__c</t>
  </si>
  <si>
    <t>住所カナ</t>
  </si>
  <si>
    <t>取引先 電話</t>
  </si>
  <si>
    <t>fax</t>
  </si>
  <si>
    <t>取引先 Fax</t>
  </si>
  <si>
    <t>url__c</t>
  </si>
  <si>
    <t>URL</t>
  </si>
  <si>
    <t>industry__c</t>
  </si>
  <si>
    <t>業種</t>
  </si>
  <si>
    <t>businessdescription__c</t>
  </si>
  <si>
    <t>業務内容</t>
  </si>
  <si>
    <t>numberofemployees</t>
  </si>
  <si>
    <t>従業員数</t>
  </si>
  <si>
    <t>contractnumber__c</t>
  </si>
  <si>
    <t>契約人数</t>
  </si>
  <si>
    <t>retirementage__c</t>
  </si>
  <si>
    <t>定年年齢</t>
  </si>
  <si>
    <t>groupstatus__c</t>
  </si>
  <si>
    <t>団体ステータス</t>
  </si>
  <si>
    <t>groupregistrationdate__c</t>
  </si>
  <si>
    <t>団体登録日</t>
  </si>
  <si>
    <t>groupderegistrationdate__c</t>
  </si>
  <si>
    <t>団体解除日</t>
  </si>
  <si>
    <t>paperworkdepartment__c</t>
  </si>
  <si>
    <t>事務担当窓口部署</t>
  </si>
  <si>
    <t>paperworkposition__c</t>
  </si>
  <si>
    <t>事務担当窓口役職</t>
  </si>
  <si>
    <t>paperworkstaff__c</t>
  </si>
  <si>
    <t>事務担当窓口</t>
  </si>
  <si>
    <t>paperworktelno__c</t>
  </si>
  <si>
    <t>事務担当窓口電話番号</t>
  </si>
  <si>
    <t>paperworkmail__c</t>
  </si>
  <si>
    <t>事務担当窓口メール</t>
  </si>
  <si>
    <t>paperworkmemo__c</t>
  </si>
  <si>
    <t>事務担当窓口メモ</t>
  </si>
  <si>
    <t>recruitmentdepartment__c</t>
  </si>
  <si>
    <t>募集担当窓口部署</t>
  </si>
  <si>
    <t>recruitmentposition__c</t>
  </si>
  <si>
    <t>募集担当窓口役職</t>
  </si>
  <si>
    <t>recruitmentstaff__c</t>
  </si>
  <si>
    <t>募集担当窓口</t>
  </si>
  <si>
    <t>recruitmenttelno__c</t>
  </si>
  <si>
    <t>募集担当窓口電話番号</t>
  </si>
  <si>
    <t>recruitmentmail__c</t>
  </si>
  <si>
    <t>募集担当窓口メール</t>
  </si>
  <si>
    <t>recruitmentmemo__c</t>
  </si>
  <si>
    <t>募集担当窓口メモ</t>
  </si>
  <si>
    <t>ownerid</t>
  </si>
  <si>
    <t>所有者</t>
  </si>
  <si>
    <t>createdbyid</t>
  </si>
  <si>
    <t>作成者</t>
  </si>
  <si>
    <t>lastmodifiedbyid</t>
  </si>
  <si>
    <t>最終更新者</t>
  </si>
  <si>
    <t>recordtypeid</t>
  </si>
  <si>
    <t>レコードタイプ</t>
  </si>
  <si>
    <t>associatecode__c</t>
  </si>
  <si>
    <t>nameuppercase__c</t>
  </si>
  <si>
    <t>取引先名(大文字)</t>
  </si>
  <si>
    <t>nameuppercasewithoutspace__c</t>
  </si>
  <si>
    <t>取引先名(大文字・スペースなし)</t>
  </si>
  <si>
    <t>世帯のテーブル(family)</t>
  </si>
  <si>
    <t>白地顧客のテーブル(NewAccount)</t>
  </si>
  <si>
    <t>migrationcustomer_id__pc</t>
  </si>
  <si>
    <t>移行用顧客ID</t>
  </si>
  <si>
    <t>lastname</t>
  </si>
  <si>
    <t>姓</t>
  </si>
  <si>
    <t>firstname</t>
  </si>
  <si>
    <t>名</t>
  </si>
  <si>
    <t>氏名フリガナ</t>
  </si>
  <si>
    <t>finserv__gender__pc</t>
  </si>
  <si>
    <t>personbirthdate</t>
  </si>
  <si>
    <t>誕生日</t>
  </si>
  <si>
    <t>personmailingpostalcode</t>
  </si>
  <si>
    <t>郵便番号(郵送先)</t>
  </si>
  <si>
    <t>personmailingcountry</t>
  </si>
  <si>
    <t>国(郵送先)</t>
  </si>
  <si>
    <t>personmailingstate</t>
  </si>
  <si>
    <t>都道府県(郵送先)</t>
  </si>
  <si>
    <t>personmailingcity</t>
  </si>
  <si>
    <t>市区郡(郵送先)</t>
  </si>
  <si>
    <t>personmailingstreet</t>
  </si>
  <si>
    <t>町名・番地(郵送先)</t>
  </si>
  <si>
    <t>addresskana__pc</t>
  </si>
  <si>
    <t>personemail</t>
  </si>
  <si>
    <t>メール</t>
  </si>
  <si>
    <t>personhomephone</t>
  </si>
  <si>
    <t>自宅電話</t>
  </si>
  <si>
    <t>personmobilephone</t>
  </si>
  <si>
    <t>携帯</t>
  </si>
  <si>
    <t>workphone__pc</t>
  </si>
  <si>
    <t>勤務先電話</t>
  </si>
  <si>
    <t>priorityphonetype__c</t>
  </si>
  <si>
    <t>優先電話種別</t>
  </si>
  <si>
    <t>所有者 ID</t>
  </si>
  <si>
    <t>introducer__c</t>
  </si>
  <si>
    <t>紹介者</t>
  </si>
  <si>
    <t>personalinfouseagreementdate__pc</t>
  </si>
  <si>
    <t>個人情報の利用に関する同意取得日</t>
  </si>
  <si>
    <t>group_ref__c</t>
  </si>
  <si>
    <t>団体</t>
  </si>
  <si>
    <t>group_second_section__c</t>
  </si>
  <si>
    <t>団体第2階層</t>
  </si>
  <si>
    <t>group_third_section__c</t>
  </si>
  <si>
    <t>団体第3階層</t>
  </si>
  <si>
    <t>belonging_code__c</t>
  </si>
  <si>
    <t>所属コード</t>
  </si>
  <si>
    <t>employee_code__c</t>
  </si>
  <si>
    <t>社員コード</t>
  </si>
  <si>
    <t>persontitle</t>
  </si>
  <si>
    <t>役職</t>
  </si>
  <si>
    <t>作成者 ID</t>
  </si>
  <si>
    <t>最終更新者 ID</t>
  </si>
  <si>
    <t>レコードタイプ ID</t>
  </si>
  <si>
    <t>associatecode__pc</t>
  </si>
  <si>
    <t>lastnameuppercase__c</t>
  </si>
  <si>
    <t>姓(大文字)</t>
  </si>
  <si>
    <t>lastnameuppercasewithoutspace__c</t>
  </si>
  <si>
    <t>姓(大文字・スペースなし)</t>
  </si>
  <si>
    <t>firstnameuppercase__c</t>
  </si>
  <si>
    <t>名(大文字)</t>
  </si>
  <si>
    <t>firstnameuppercasewithoutspace__c</t>
  </si>
  <si>
    <t>名(大文字・スペースなし)</t>
  </si>
  <si>
    <t>namekanauppercase__c</t>
  </si>
  <si>
    <t>氏名フリガナ(大文字)</t>
  </si>
  <si>
    <t>namekanauppercasewithoutspace__c</t>
  </si>
  <si>
    <t>氏名フリガナ(大文字・スペースなし)</t>
  </si>
  <si>
    <t>addresstotal__c</t>
  </si>
  <si>
    <t>住所(全量)</t>
  </si>
  <si>
    <t>取引先と取引先責任者リレーションのテーブル(AccountContactRelation)</t>
  </si>
  <si>
    <t>accountid</t>
  </si>
  <si>
    <t>顧客</t>
  </si>
  <si>
    <t>取引先責任者</t>
  </si>
  <si>
    <t>roles</t>
  </si>
  <si>
    <t>ロール</t>
  </si>
  <si>
    <t>livingtogether__c</t>
  </si>
  <si>
    <t>同居</t>
  </si>
  <si>
    <t>relationship__c</t>
  </si>
  <si>
    <t>relationshipother__c</t>
  </si>
  <si>
    <t>relationshipmemo__c</t>
  </si>
  <si>
    <t>関係メモ</t>
  </si>
  <si>
    <t>migrationaccountcontact_id__c</t>
  </si>
  <si>
    <t>移行用世帯顧客番号</t>
  </si>
  <si>
    <t>顧客分類のテーブル(ClientClassificationMaster)</t>
  </si>
  <si>
    <t>agency__c</t>
  </si>
  <si>
    <t>代理店</t>
  </si>
  <si>
    <t>顧客分類マスタ名</t>
  </si>
  <si>
    <t>displayname__c</t>
  </si>
  <si>
    <t>表示名</t>
  </si>
  <si>
    <t>backgroundcolor__c</t>
  </si>
  <si>
    <t>背景色</t>
  </si>
  <si>
    <t>displayorder__c</t>
  </si>
  <si>
    <t>表示順</t>
  </si>
  <si>
    <t>migrationcategory_id__c</t>
  </si>
  <si>
    <t>移行用分類ID</t>
  </si>
  <si>
    <t>受付経路マスタのテーブル(IncomingChannel)</t>
  </si>
  <si>
    <t>受付経路 / リーズ元名</t>
  </si>
  <si>
    <t>isactive__c</t>
  </si>
  <si>
    <t>有効フラグ</t>
  </si>
  <si>
    <t>migrationincomingchannel_leads_id__c</t>
  </si>
  <si>
    <t>移行用受付経路 / リーズ元番号</t>
  </si>
  <si>
    <t>顧客注意事項のテーブル(CustomerNotes)</t>
  </si>
  <si>
    <t>personaccount__c</t>
  </si>
  <si>
    <t>salesowner__c</t>
  </si>
  <si>
    <t>営業担当者</t>
  </si>
  <si>
    <t>mainoperator__c</t>
  </si>
  <si>
    <t>メイン担当</t>
  </si>
  <si>
    <t>suboperator__c</t>
  </si>
  <si>
    <t>サブ担当</t>
  </si>
  <si>
    <t>groupmemo__c</t>
  </si>
  <si>
    <t>団体メモ</t>
  </si>
  <si>
    <t>comment__c</t>
  </si>
  <si>
    <t>コメント</t>
  </si>
  <si>
    <t>variouswarnings__c</t>
  </si>
  <si>
    <t>各種注意事項</t>
  </si>
  <si>
    <t>lipsasregistration__c</t>
  </si>
  <si>
    <t>LIPSAS登録情報</t>
  </si>
  <si>
    <t>islatest__c</t>
  </si>
  <si>
    <t>最新フラグ</t>
  </si>
  <si>
    <t>personmobilephone__c</t>
  </si>
  <si>
    <t>personhomephone__c</t>
  </si>
  <si>
    <t>workphone__c</t>
  </si>
  <si>
    <t>personemail__c</t>
  </si>
  <si>
    <t>団体第２階層</t>
  </si>
  <si>
    <t>団体第３階層</t>
  </si>
  <si>
    <t>persontitle__c</t>
  </si>
  <si>
    <t>personalinfouseagreementdate__c</t>
  </si>
  <si>
    <t>groupdivision__c</t>
  </si>
  <si>
    <t>団体区分</t>
  </si>
  <si>
    <t>numberofemployees__c</t>
  </si>
  <si>
    <t>availablegroupriders__c</t>
  </si>
  <si>
    <t>団体特約種類</t>
  </si>
  <si>
    <t>relatinggroup1__c</t>
  </si>
  <si>
    <t>関連団体1</t>
  </si>
  <si>
    <t>relatinggroup2__c</t>
  </si>
  <si>
    <t>関連団体2</t>
  </si>
  <si>
    <t>postretirementgroup1__c</t>
  </si>
  <si>
    <t>退職後団体1</t>
  </si>
  <si>
    <t>postretirementgroup2__c</t>
  </si>
  <si>
    <t>退職後団体2</t>
  </si>
  <si>
    <t>newmembershipconditions__c</t>
  </si>
  <si>
    <t>新規・転入条件</t>
  </si>
  <si>
    <t>confirmationpointsfornewmembership__c</t>
  </si>
  <si>
    <t>新規・転入時の注意点</t>
  </si>
  <si>
    <t>confirmationpointsforgroupmembership__c</t>
  </si>
  <si>
    <t>所属確認時の注意点</t>
  </si>
  <si>
    <t>confirmationpointsuponsales__c</t>
  </si>
  <si>
    <t>募集時の注意点</t>
  </si>
  <si>
    <t>clientclassification1__c</t>
  </si>
  <si>
    <t>顧客分類1</t>
  </si>
  <si>
    <t>clientclassification2__c</t>
  </si>
  <si>
    <t>顧客分類2</t>
  </si>
  <si>
    <t>clientclassification3__c</t>
  </si>
  <si>
    <t>顧客分類3</t>
  </si>
  <si>
    <t>clientclassification4__c</t>
  </si>
  <si>
    <t>顧客分類4</t>
  </si>
  <si>
    <t>clientclassification5__c</t>
  </si>
  <si>
    <t>顧客分類5</t>
  </si>
  <si>
    <t>clientclassification6__c</t>
  </si>
  <si>
    <t>顧客分類6</t>
  </si>
  <si>
    <t>clientclassification7__c</t>
  </si>
  <si>
    <t>顧客分類7</t>
  </si>
  <si>
    <t>clientclassification8__c</t>
  </si>
  <si>
    <t>顧客分類8</t>
  </si>
  <si>
    <t>clientclassification9__c</t>
  </si>
  <si>
    <t>顧客分類9</t>
  </si>
  <si>
    <t>clientclassification10__c</t>
  </si>
  <si>
    <t>顧客分類10</t>
  </si>
  <si>
    <t>clientclassification11__c</t>
  </si>
  <si>
    <t>顧客分類11</t>
  </si>
  <si>
    <t>clientclassification12__c</t>
  </si>
  <si>
    <t>顧客分類12</t>
  </si>
  <si>
    <t>clientclassification13__c</t>
  </si>
  <si>
    <t>顧客分類13</t>
  </si>
  <si>
    <t>clientclassification14__c</t>
  </si>
  <si>
    <t>顧客分類14</t>
  </si>
  <si>
    <t>clientclassification15__c</t>
  </si>
  <si>
    <t>顧客分類15</t>
  </si>
  <si>
    <t>memo_mdm_pic__c</t>
  </si>
  <si>
    <t>販管担当者</t>
  </si>
  <si>
    <t>移行用顧客番号</t>
  </si>
  <si>
    <t>対応種別マスタのテーブル(ContactClassMaster)</t>
  </si>
  <si>
    <t>対応種別マスタ名</t>
  </si>
  <si>
    <t>migrationcontactclass_id__c</t>
  </si>
  <si>
    <t>移行用対応種別番号</t>
  </si>
  <si>
    <t>テキストテンプレートのテーブル(Texttemplate)</t>
  </si>
  <si>
    <t>テキストテンプレート名</t>
  </si>
  <si>
    <t>template__c</t>
  </si>
  <si>
    <t>定型文</t>
  </si>
  <si>
    <t>migrationtemplatenumber__c</t>
  </si>
  <si>
    <t>移行用テンプレート番号</t>
  </si>
  <si>
    <t>他社証券のテーブル(OtherPolicy)</t>
  </si>
  <si>
    <t>migrationpolicynumber__c</t>
  </si>
  <si>
    <t>移行用証券番号</t>
  </si>
  <si>
    <t>状況</t>
  </si>
  <si>
    <t>neworextensionflag__c</t>
  </si>
  <si>
    <t>新規・継続区分</t>
  </si>
  <si>
    <t>insurancecompany__c</t>
  </si>
  <si>
    <t>保険会社</t>
  </si>
  <si>
    <t>otherinsurancecompany__c</t>
  </si>
  <si>
    <t>保険会社その他</t>
  </si>
  <si>
    <t>accountid__c</t>
  </si>
  <si>
    <t>契約者名</t>
  </si>
  <si>
    <t>contractdate__c</t>
  </si>
  <si>
    <t>契約日</t>
  </si>
  <si>
    <t>applicationdate__c</t>
  </si>
  <si>
    <t>申込日</t>
  </si>
  <si>
    <t>groupname__c</t>
  </si>
  <si>
    <t>policyname</t>
  </si>
  <si>
    <t>保険契約名</t>
  </si>
  <si>
    <t>insurancetype__c</t>
  </si>
  <si>
    <t>保険種類</t>
  </si>
  <si>
    <t>policytypenotes__c</t>
  </si>
  <si>
    <t>保険種類メモ</t>
  </si>
  <si>
    <t>policychangereason__c</t>
  </si>
  <si>
    <t>異動事由</t>
  </si>
  <si>
    <t>policychangeorcancellationdate__c</t>
  </si>
  <si>
    <t>異動・解約日</t>
  </si>
  <si>
    <t>nameinsuredid</t>
  </si>
  <si>
    <t>記名被保険者</t>
  </si>
  <si>
    <t>premiumamount</t>
  </si>
  <si>
    <t>保険料</t>
  </si>
  <si>
    <t>policytype__c</t>
  </si>
  <si>
    <t>契約区分</t>
  </si>
  <si>
    <t>premiumfrequency</t>
  </si>
  <si>
    <t>保険料支払頻度</t>
  </si>
  <si>
    <t>満期日</t>
  </si>
  <si>
    <t>agencyshopcode__c</t>
  </si>
  <si>
    <t>代理店出先コード</t>
  </si>
  <si>
    <t>departmentcode__c</t>
  </si>
  <si>
    <t>employeecode__c</t>
  </si>
  <si>
    <t>notes__c</t>
  </si>
  <si>
    <t>所有者 氏名</t>
  </si>
  <si>
    <t>kananame__c</t>
  </si>
  <si>
    <t>被保険者カナ氏名</t>
  </si>
  <si>
    <t>kanjiname__c</t>
  </si>
  <si>
    <t>漢字氏名</t>
  </si>
  <si>
    <t>sex__c</t>
  </si>
  <si>
    <t>被保険者性別</t>
  </si>
  <si>
    <t>birthdate__c</t>
  </si>
  <si>
    <t>被保険者生年月日</t>
  </si>
  <si>
    <t>policynumber__c</t>
  </si>
  <si>
    <t>証券番号(キー)</t>
  </si>
  <si>
    <t>kananameuppercase__c</t>
  </si>
  <si>
    <t>カナ氏名(大文字)</t>
  </si>
  <si>
    <t>kananameuppercasewithoutspace__c</t>
  </si>
  <si>
    <t>カナ氏名(大文字・スペースなし)</t>
  </si>
  <si>
    <t>kanjinameuppercase__c</t>
  </si>
  <si>
    <t>漢字氏名(大文字)</t>
  </si>
  <si>
    <t>kanjinameuppercasewithoutspace__c</t>
  </si>
  <si>
    <t>漢字氏名(大文字・スペースなし)</t>
  </si>
  <si>
    <t>insurednamereference__c</t>
  </si>
  <si>
    <t>被保険者</t>
  </si>
  <si>
    <t>対応履歴のテーブル(Event)</t>
  </si>
  <si>
    <t>finserv__household__c</t>
  </si>
  <si>
    <t>世帯（顧客）</t>
  </si>
  <si>
    <t>means__c</t>
  </si>
  <si>
    <t>対応手段</t>
  </si>
  <si>
    <t>subject</t>
  </si>
  <si>
    <t>件名</t>
  </si>
  <si>
    <t>location</t>
  </si>
  <si>
    <t>場所</t>
  </si>
  <si>
    <t>startdatetime</t>
  </si>
  <si>
    <t>開始日時</t>
  </si>
  <si>
    <t>enddatetime</t>
  </si>
  <si>
    <t>agencybranch__c</t>
  </si>
  <si>
    <t>対応出先</t>
  </si>
  <si>
    <t>department__c</t>
  </si>
  <si>
    <t>対応部署</t>
  </si>
  <si>
    <t>description</t>
  </si>
  <si>
    <t>説明</t>
  </si>
  <si>
    <t>eventcompleted__c</t>
  </si>
  <si>
    <t>対応完了</t>
  </si>
  <si>
    <t>managercomment__c</t>
  </si>
  <si>
    <t>管理者コメント</t>
  </si>
  <si>
    <t>レコードタイプID</t>
  </si>
  <si>
    <t>required__c</t>
  </si>
  <si>
    <t>必須</t>
  </si>
  <si>
    <t>contactperson__c</t>
  </si>
  <si>
    <t>対応相手</t>
  </si>
  <si>
    <t>contactclassname__c</t>
  </si>
  <si>
    <t>対応種別名称</t>
  </si>
  <si>
    <t>whatid</t>
  </si>
  <si>
    <t>関連先 ID</t>
  </si>
  <si>
    <t>migrationcontactnumber__c</t>
  </si>
  <si>
    <t>移行用対応履歴番号</t>
  </si>
  <si>
    <t>contactclassmasterid__c</t>
  </si>
  <si>
    <t>対応種別ID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</si>
</sst>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b/>
      <u/>
      <sz val="11"/>
      <color theme="1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rgb="FF2A00FF"/>
      <name val="ＭＳ 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6" fillId="0" borderId="0" xfId="1" applyFont="1" applyAlignment="1" applyProtection="1">
      <alignment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0" fontId="10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left" vertical="center" wrapText="1"/>
    </xf>
    <xf numFmtId="0" fontId="2" fillId="4" borderId="1" xfId="0" applyFont="1" applyFill="1" applyBorder="1">
      <alignment vertical="center"/>
    </xf>
    <xf numFmtId="0" fontId="2" fillId="4" borderId="1" xfId="0" applyFont="1" applyFill="1" applyBorder="1" applyAlignment="1">
      <alignment vertical="center" wrapText="1"/>
    </xf>
    <xf numFmtId="0" fontId="11" fillId="0" borderId="1" xfId="0" applyFont="1" applyBorder="1">
      <alignment vertical="center"/>
    </xf>
    <xf numFmtId="0" fontId="11" fillId="0" borderId="8" xfId="0" applyFont="1" applyBorder="1" applyAlignment="1">
      <alignment vertical="center" wrapText="1"/>
    </xf>
    <xf numFmtId="0" fontId="12" fillId="0" borderId="1" xfId="0" applyFont="1" applyBorder="1">
      <alignment vertical="center"/>
    </xf>
    <xf numFmtId="0" fontId="11" fillId="0" borderId="1" xfId="0" applyFont="1" applyBorder="1" applyAlignment="1">
      <alignment vertical="center" wrapText="1"/>
    </xf>
    <xf numFmtId="0" fontId="12" fillId="0" borderId="0" xfId="0" applyFont="1">
      <alignment vertical="center"/>
    </xf>
    <xf numFmtId="0" fontId="8" fillId="9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13" fillId="0" borderId="0" xfId="0" applyFont="1">
      <alignment vertical="center"/>
    </xf>
    <xf numFmtId="0" fontId="0" fillId="7" borderId="1" xfId="0" applyFill="1" applyBorder="1" applyAlignment="1">
      <alignment horizontal="left"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3" fontId="0" fillId="0" borderId="0" xfId="0" applyNumberFormat="1">
      <alignment vertical="center"/>
    </xf>
    <xf numFmtId="0" fontId="0" fillId="0" borderId="9" xfId="0" applyBorder="1">
      <alignment vertical="center"/>
    </xf>
    <xf numFmtId="0" fontId="0" fillId="6" borderId="6" xfId="0" applyFill="1" applyBorder="1" applyAlignment="1">
      <alignment horizontal="left" vertical="center"/>
    </xf>
    <xf numFmtId="0" fontId="0" fillId="6" borderId="5" xfId="0" applyFill="1" applyBorder="1" applyAlignment="1">
      <alignment horizontal="left" vertical="center"/>
    </xf>
    <xf numFmtId="0" fontId="0" fillId="6" borderId="7" xfId="0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518160</xdr:colOff>
          <xdr:row>8</xdr:row>
          <xdr:rowOff>373380</xdr:rowOff>
        </xdr:from>
        <xdr:to>
          <xdr:col>8</xdr:col>
          <xdr:colOff>533400</xdr:colOff>
          <xdr:row>9</xdr:row>
          <xdr:rowOff>0</xdr:rowOff>
        </xdr:to>
        <xdr:sp macro="" textlink="">
          <xdr:nvSpPr>
            <xdr:cNvPr id="1025" name="cmdExcutefi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2</xdr:row>
          <xdr:rowOff>76200</xdr:rowOff>
        </xdr:from>
        <xdr:to>
          <xdr:col>4</xdr:col>
          <xdr:colOff>1805940</xdr:colOff>
          <xdr:row>4</xdr:row>
          <xdr:rowOff>106680</xdr:rowOff>
        </xdr:to>
        <xdr:sp macro="" textlink="">
          <xdr:nvSpPr>
            <xdr:cNvPr id="1026" name="cmdExcuteSelec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518160</xdr:colOff>
          <xdr:row>7</xdr:row>
          <xdr:rowOff>0</xdr:rowOff>
        </xdr:from>
        <xdr:to>
          <xdr:col>8</xdr:col>
          <xdr:colOff>541020</xdr:colOff>
          <xdr:row>8</xdr:row>
          <xdr:rowOff>198120</xdr:rowOff>
        </xdr:to>
        <xdr:sp macro="" textlink="">
          <xdr:nvSpPr>
            <xdr:cNvPr id="1027" name="cmdExcuteShe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739140</xdr:colOff>
          <xdr:row>2</xdr:row>
          <xdr:rowOff>76200</xdr:rowOff>
        </xdr:from>
        <xdr:to>
          <xdr:col>5</xdr:col>
          <xdr:colOff>1866900</xdr:colOff>
          <xdr:row>4</xdr:row>
          <xdr:rowOff>106680</xdr:rowOff>
        </xdr:to>
        <xdr:sp macro="" textlink="">
          <xdr:nvSpPr>
            <xdr:cNvPr id="1028" name="cmdDataInser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javadrive.jp/postgresql/schema/index2.html" TargetMode="External"/><Relationship Id="rId1" Type="http://schemas.openxmlformats.org/officeDocument/2006/relationships/hyperlink" Target="https://www.postgresql.org/ftp/odbc/versions/msi/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2:I25"/>
  <sheetViews>
    <sheetView workbookViewId="0">
      <selection activeCell="G25" sqref="G25"/>
    </sheetView>
  </sheetViews>
  <sheetFormatPr defaultRowHeight="13.2" x14ac:dyDescent="0.2"/>
  <sheetData>
    <row r="2" spans="1:9" x14ac:dyDescent="0.2">
      <c r="A2" s="5" t="s">
        <v>24</v>
      </c>
    </row>
    <row r="3" spans="1:9" x14ac:dyDescent="0.2">
      <c r="A3" s="6" t="s">
        <v>25</v>
      </c>
    </row>
    <row r="4" spans="1:9" x14ac:dyDescent="0.2">
      <c r="A4" s="6" t="s">
        <v>49</v>
      </c>
    </row>
    <row r="5" spans="1:9" x14ac:dyDescent="0.2">
      <c r="A5" s="6"/>
    </row>
    <row r="6" spans="1:9" x14ac:dyDescent="0.2">
      <c r="A6" s="1" t="s">
        <v>23</v>
      </c>
    </row>
    <row r="7" spans="1:9" x14ac:dyDescent="0.2">
      <c r="A7" s="6" t="s">
        <v>50</v>
      </c>
      <c r="H7" t="s">
        <v>52</v>
      </c>
      <c r="I7" t="s">
        <v>51</v>
      </c>
    </row>
    <row r="8" spans="1:9" x14ac:dyDescent="0.2">
      <c r="A8" s="1"/>
      <c r="I8" t="s">
        <v>53</v>
      </c>
    </row>
    <row r="9" spans="1:9" x14ac:dyDescent="0.2">
      <c r="A9" s="1"/>
    </row>
    <row r="12" spans="1:9" x14ac:dyDescent="0.2">
      <c r="A12" t="s">
        <v>54</v>
      </c>
      <c r="E12" t="s">
        <v>68</v>
      </c>
    </row>
    <row r="13" spans="1:9" x14ac:dyDescent="0.2">
      <c r="A13" t="s">
        <v>55</v>
      </c>
      <c r="E13" t="s">
        <v>69</v>
      </c>
    </row>
    <row r="14" spans="1:9" x14ac:dyDescent="0.2">
      <c r="A14" t="s">
        <v>56</v>
      </c>
      <c r="E14" t="s">
        <v>70</v>
      </c>
    </row>
    <row r="15" spans="1:9" x14ac:dyDescent="0.2">
      <c r="A15" t="s">
        <v>57</v>
      </c>
      <c r="E15" t="s">
        <v>67</v>
      </c>
    </row>
    <row r="16" spans="1:9" x14ac:dyDescent="0.2">
      <c r="A16" t="s">
        <v>58</v>
      </c>
    </row>
    <row r="17" spans="1:1" x14ac:dyDescent="0.2">
      <c r="A17" t="s">
        <v>59</v>
      </c>
    </row>
    <row r="18" spans="1:1" x14ac:dyDescent="0.2">
      <c r="A18" t="s">
        <v>60</v>
      </c>
    </row>
    <row r="19" spans="1:1" x14ac:dyDescent="0.2">
      <c r="A19" t="s">
        <v>61</v>
      </c>
    </row>
    <row r="20" spans="1:1" x14ac:dyDescent="0.2">
      <c r="A20" t="s">
        <v>62</v>
      </c>
    </row>
    <row r="21" spans="1:1" x14ac:dyDescent="0.2">
      <c r="A21" t="s">
        <v>63</v>
      </c>
    </row>
    <row r="22" spans="1:1" x14ac:dyDescent="0.2">
      <c r="A22" t="s">
        <v>64</v>
      </c>
    </row>
    <row r="23" spans="1:1" x14ac:dyDescent="0.2">
      <c r="A23" t="s">
        <v>65</v>
      </c>
    </row>
    <row r="24" spans="1:1" x14ac:dyDescent="0.2">
      <c r="A24" t="s">
        <v>66</v>
      </c>
    </row>
    <row r="25" spans="1:1" x14ac:dyDescent="0.2">
      <c r="A25" t="s">
        <v>67</v>
      </c>
    </row>
  </sheetData>
  <phoneticPr fontId="1"/>
  <hyperlinks>
    <hyperlink ref="A3" r:id="rId1" xr:uid="{BEA0A911-7D99-426F-84F5-60339494DD7E}"/>
    <hyperlink ref="A7" r:id="rId2" xr:uid="{6A761252-C22F-4625-B7FF-3EBD72D73EF6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C26"/>
  <sheetViews>
    <sheetView topLeftCell="A4" workbookViewId="0">
      <selection activeCell="A4" sqref="A2:A4"/>
    </sheetView>
  </sheetViews>
  <sheetFormatPr defaultRowHeight="13.2" x14ac:dyDescent="0.2"/>
  <cols>
    <col min="1" max="1" width="29.21875" style="8" bestFit="1" customWidth="1"/>
    <col min="2" max="2" width="40.21875" style="8" bestFit="1" customWidth="1"/>
    <col min="3" max="3" width="22.44140625" style="8" customWidth="1"/>
    <col min="4" max="16384" width="8.88671875" style="8"/>
  </cols>
  <sheetData>
    <row r="2" spans="1:3" x14ac:dyDescent="0.2">
      <c r="A2" s="8" t="s">
        <v>1</v>
      </c>
    </row>
    <row r="4" spans="1:3" x14ac:dyDescent="0.2">
      <c r="A4" s="8" t="s">
        <v>4</v>
      </c>
      <c r="B4" s="8" t="s">
        <v>14</v>
      </c>
      <c r="C4" s="8" t="s">
        <v>561</v>
      </c>
    </row>
    <row r="5" spans="1:3" x14ac:dyDescent="0.2">
      <c r="A5" s="9" t="s">
        <v>71</v>
      </c>
      <c r="B5" s="9" t="s">
        <v>72</v>
      </c>
      <c r="C5" s="8" t="s">
        <v>562</v>
      </c>
    </row>
    <row r="6" spans="1:3" x14ac:dyDescent="0.2">
      <c r="A6" s="9" t="s">
        <v>73</v>
      </c>
      <c r="B6" s="9" t="s">
        <v>74</v>
      </c>
      <c r="C6" s="8" t="s">
        <v>562</v>
      </c>
    </row>
    <row r="7" spans="1:3" x14ac:dyDescent="0.2">
      <c r="A7" s="9" t="s">
        <v>75</v>
      </c>
      <c r="B7" s="9" t="s">
        <v>76</v>
      </c>
      <c r="C7" s="8" t="s">
        <v>562</v>
      </c>
    </row>
    <row r="8" spans="1:3" x14ac:dyDescent="0.2">
      <c r="A8" s="9" t="s">
        <v>77</v>
      </c>
      <c r="B8" s="9" t="s">
        <v>78</v>
      </c>
      <c r="C8" s="8" t="s">
        <v>562</v>
      </c>
    </row>
    <row r="9" spans="1:3" x14ac:dyDescent="0.2">
      <c r="A9" s="9" t="s">
        <v>79</v>
      </c>
      <c r="B9" s="9" t="s">
        <v>80</v>
      </c>
      <c r="C9" s="8" t="s">
        <v>562</v>
      </c>
    </row>
    <row r="10" spans="1:3" x14ac:dyDescent="0.2">
      <c r="A10" s="9" t="s">
        <v>81</v>
      </c>
      <c r="B10" s="9" t="s">
        <v>82</v>
      </c>
      <c r="C10" s="8" t="s">
        <v>562</v>
      </c>
    </row>
    <row r="11" spans="1:3" x14ac:dyDescent="0.2">
      <c r="A11" s="9" t="s">
        <v>83</v>
      </c>
      <c r="B11" s="9" t="s">
        <v>84</v>
      </c>
      <c r="C11" s="8" t="s">
        <v>562</v>
      </c>
    </row>
    <row r="12" spans="1:3" x14ac:dyDescent="0.2">
      <c r="A12" s="9" t="s">
        <v>594</v>
      </c>
      <c r="B12" s="9" t="s">
        <v>86</v>
      </c>
    </row>
    <row r="13" spans="1:3" x14ac:dyDescent="0.2">
      <c r="A13" s="9" t="s">
        <v>591</v>
      </c>
      <c r="B13" s="9" t="s">
        <v>88</v>
      </c>
      <c r="C13" s="8" t="s">
        <v>562</v>
      </c>
    </row>
    <row r="14" spans="1:3" x14ac:dyDescent="0.2">
      <c r="A14" s="9" t="s">
        <v>89</v>
      </c>
      <c r="B14" s="9" t="s">
        <v>90</v>
      </c>
      <c r="C14" s="8" t="s">
        <v>618</v>
      </c>
    </row>
    <row r="15" spans="1:3" x14ac:dyDescent="0.2">
      <c r="A15" s="9" t="s">
        <v>621</v>
      </c>
      <c r="B15" s="9" t="s">
        <v>92</v>
      </c>
      <c r="C15" s="8" t="s">
        <v>618</v>
      </c>
    </row>
    <row r="16" spans="1:3" x14ac:dyDescent="0.2">
      <c r="A16" s="10" t="s">
        <v>565</v>
      </c>
      <c r="B16" s="9" t="s">
        <v>94</v>
      </c>
      <c r="C16" s="8" t="s">
        <v>563</v>
      </c>
    </row>
    <row r="17" spans="1:3" x14ac:dyDescent="0.2">
      <c r="A17" s="10" t="s">
        <v>95</v>
      </c>
      <c r="B17" s="9" t="s">
        <v>96</v>
      </c>
    </row>
    <row r="18" spans="1:3" x14ac:dyDescent="0.2">
      <c r="A18" s="10" t="s">
        <v>566</v>
      </c>
      <c r="B18" s="11" t="s">
        <v>98</v>
      </c>
      <c r="C18" s="8" t="s">
        <v>564</v>
      </c>
    </row>
    <row r="19" spans="1:3" x14ac:dyDescent="0.2">
      <c r="A19" s="10" t="s">
        <v>99</v>
      </c>
      <c r="B19" s="11" t="s">
        <v>100</v>
      </c>
    </row>
    <row r="20" spans="1:3" x14ac:dyDescent="0.2">
      <c r="A20" s="10" t="s">
        <v>619</v>
      </c>
      <c r="B20" s="9" t="s">
        <v>102</v>
      </c>
    </row>
    <row r="21" spans="1:3" x14ac:dyDescent="0.2">
      <c r="A21" s="10" t="s">
        <v>103</v>
      </c>
      <c r="B21" s="9" t="s">
        <v>104</v>
      </c>
    </row>
    <row r="22" spans="1:3" x14ac:dyDescent="0.2">
      <c r="A22" s="10" t="s">
        <v>623</v>
      </c>
      <c r="B22" s="9" t="s">
        <v>106</v>
      </c>
    </row>
    <row r="23" spans="1:3" x14ac:dyDescent="0.2">
      <c r="A23" s="10" t="s">
        <v>593</v>
      </c>
      <c r="B23" s="9" t="s">
        <v>108</v>
      </c>
    </row>
    <row r="24" spans="1:3" x14ac:dyDescent="0.2">
      <c r="A24" s="10" t="s">
        <v>620</v>
      </c>
      <c r="B24" s="9" t="s">
        <v>110</v>
      </c>
    </row>
    <row r="25" spans="1:3" x14ac:dyDescent="0.2">
      <c r="A25" s="9" t="s">
        <v>624</v>
      </c>
      <c r="B25" s="9" t="s">
        <v>112</v>
      </c>
      <c r="C25" s="8" t="s">
        <v>563</v>
      </c>
    </row>
    <row r="26" spans="1:3" x14ac:dyDescent="0.2">
      <c r="A26" s="9" t="s">
        <v>630</v>
      </c>
      <c r="B26" s="11" t="s">
        <v>114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A2:D366"/>
  <sheetViews>
    <sheetView zoomScale="115" zoomScaleNormal="115" workbookViewId="0">
      <selection activeCell="B375" sqref="B375"/>
    </sheetView>
  </sheetViews>
  <sheetFormatPr defaultRowHeight="10.8" x14ac:dyDescent="0.2"/>
  <cols>
    <col min="1" max="1" width="18.44140625" style="18" bestFit="1" customWidth="1"/>
    <col min="2" max="2" width="26.77734375" style="18" customWidth="1"/>
    <col min="3" max="3" width="28.6640625" style="18" customWidth="1"/>
    <col min="4" max="4" width="29.6640625" style="18" customWidth="1"/>
    <col min="5" max="16384" width="8.88671875" style="7"/>
  </cols>
  <sheetData>
    <row r="2" spans="1:4" ht="13.2" x14ac:dyDescent="0.2">
      <c r="A2" s="8" t="s">
        <v>2</v>
      </c>
      <c r="B2" s="8"/>
      <c r="C2" s="8"/>
      <c r="D2" s="8"/>
    </row>
    <row r="3" spans="1:4" ht="13.2" x14ac:dyDescent="0.2">
      <c r="A3" s="8"/>
      <c r="B3" s="8"/>
      <c r="C3" s="8"/>
      <c r="D3" s="8"/>
    </row>
    <row r="4" spans="1:4" ht="13.2" x14ac:dyDescent="0.2">
      <c r="A4" s="19" t="s">
        <v>4</v>
      </c>
      <c r="B4" s="19" t="s">
        <v>3</v>
      </c>
      <c r="C4" s="19" t="s">
        <v>15</v>
      </c>
      <c r="D4" s="19" t="s">
        <v>3</v>
      </c>
    </row>
    <row r="5" spans="1:4" ht="13.2" customHeight="1" x14ac:dyDescent="0.2">
      <c r="A5" s="14" t="s">
        <v>117</v>
      </c>
      <c r="B5" s="15" t="s">
        <v>626</v>
      </c>
      <c r="C5" s="16" t="str">
        <f>A5&amp;"_"&amp;B5</f>
        <v>hankan1_AssociateCode</v>
      </c>
      <c r="D5" s="15" t="s">
        <v>570</v>
      </c>
    </row>
    <row r="6" spans="1:4" ht="13.2" customHeight="1" x14ac:dyDescent="0.2">
      <c r="A6" s="14" t="s">
        <v>117</v>
      </c>
      <c r="B6" s="15" t="s">
        <v>647</v>
      </c>
      <c r="C6" s="16" t="str">
        <f t="shared" ref="C6:C71" si="0">A6&amp;"_"&amp;B6</f>
        <v>hankan1_CustomerNo</v>
      </c>
      <c r="D6" s="15" t="s">
        <v>40</v>
      </c>
    </row>
    <row r="7" spans="1:4" ht="13.2" customHeight="1" x14ac:dyDescent="0.2">
      <c r="A7" s="14" t="s">
        <v>117</v>
      </c>
      <c r="B7" s="15" t="s">
        <v>28</v>
      </c>
      <c r="C7" s="16" t="str">
        <f t="shared" si="0"/>
        <v>hankan1_NameKana</v>
      </c>
      <c r="D7" s="15" t="s">
        <v>41</v>
      </c>
    </row>
    <row r="8" spans="1:4" ht="13.2" customHeight="1" x14ac:dyDescent="0.2">
      <c r="A8" s="14" t="s">
        <v>117</v>
      </c>
      <c r="B8" s="15" t="s">
        <v>628</v>
      </c>
      <c r="C8" s="16" t="str">
        <f t="shared" si="0"/>
        <v>hankan1_Name</v>
      </c>
      <c r="D8" s="15" t="s">
        <v>629</v>
      </c>
    </row>
    <row r="9" spans="1:4" x14ac:dyDescent="0.2">
      <c r="A9" s="14" t="s">
        <v>117</v>
      </c>
      <c r="B9" s="15" t="s">
        <v>30</v>
      </c>
      <c r="C9" s="16" t="str">
        <f t="shared" si="0"/>
        <v>hankan1_Sex</v>
      </c>
      <c r="D9" s="15" t="s">
        <v>21</v>
      </c>
    </row>
    <row r="10" spans="1:4" ht="13.2" customHeight="1" x14ac:dyDescent="0.2">
      <c r="A10" s="14" t="s">
        <v>117</v>
      </c>
      <c r="B10" s="15" t="s">
        <v>31</v>
      </c>
      <c r="C10" s="16" t="str">
        <f t="shared" si="0"/>
        <v>hankan1_PostalCode</v>
      </c>
      <c r="D10" s="15" t="s">
        <v>43</v>
      </c>
    </row>
    <row r="11" spans="1:4" x14ac:dyDescent="0.2">
      <c r="A11" s="14" t="s">
        <v>117</v>
      </c>
      <c r="B11" s="15" t="s">
        <v>32</v>
      </c>
      <c r="C11" s="16" t="str">
        <f t="shared" si="0"/>
        <v>hankan1_Address</v>
      </c>
      <c r="D11" s="15" t="s">
        <v>44</v>
      </c>
    </row>
    <row r="12" spans="1:4" ht="13.2" customHeight="1" x14ac:dyDescent="0.2">
      <c r="A12" s="14" t="s">
        <v>117</v>
      </c>
      <c r="B12" s="15" t="s">
        <v>33</v>
      </c>
      <c r="C12" s="16" t="str">
        <f t="shared" si="0"/>
        <v>hankan1_HomePhone</v>
      </c>
      <c r="D12" s="15" t="s">
        <v>45</v>
      </c>
    </row>
    <row r="13" spans="1:4" ht="13.2" customHeight="1" x14ac:dyDescent="0.2">
      <c r="A13" s="14" t="s">
        <v>117</v>
      </c>
      <c r="B13" s="15" t="s">
        <v>34</v>
      </c>
      <c r="C13" s="16" t="str">
        <f t="shared" si="0"/>
        <v>hankan1_PolicyNumber</v>
      </c>
      <c r="D13" s="15" t="s">
        <v>46</v>
      </c>
    </row>
    <row r="14" spans="1:4" x14ac:dyDescent="0.2">
      <c r="A14" s="14" t="s">
        <v>117</v>
      </c>
      <c r="B14" s="15" t="s">
        <v>35</v>
      </c>
      <c r="C14" s="16" t="str">
        <f t="shared" si="0"/>
        <v>hankan1_Birthday</v>
      </c>
      <c r="D14" s="15" t="s">
        <v>22</v>
      </c>
    </row>
    <row r="15" spans="1:4" ht="13.2" customHeight="1" x14ac:dyDescent="0.2">
      <c r="A15" s="14" t="s">
        <v>117</v>
      </c>
      <c r="B15" s="15" t="s">
        <v>627</v>
      </c>
      <c r="C15" s="16" t="str">
        <f t="shared" si="0"/>
        <v>hankan1_CustomerNoSet</v>
      </c>
      <c r="D15" s="15" t="s">
        <v>327</v>
      </c>
    </row>
    <row r="16" spans="1:4" ht="13.2" customHeight="1" x14ac:dyDescent="0.2">
      <c r="A16" s="14" t="s">
        <v>117</v>
      </c>
      <c r="B16" s="15" t="s">
        <v>625</v>
      </c>
      <c r="C16" s="16" t="str">
        <f t="shared" si="0"/>
        <v>hankan1_MigrationId</v>
      </c>
      <c r="D16" s="15" t="s">
        <v>328</v>
      </c>
    </row>
    <row r="17" spans="1:4" ht="13.2" customHeight="1" x14ac:dyDescent="0.2">
      <c r="A17" s="14" t="s">
        <v>117</v>
      </c>
      <c r="B17" s="15" t="s">
        <v>633</v>
      </c>
      <c r="C17" s="16" t="str">
        <f t="shared" si="0"/>
        <v>hankan1_GroupMigrationId</v>
      </c>
      <c r="D17" s="15" t="s">
        <v>329</v>
      </c>
    </row>
    <row r="18" spans="1:4" ht="13.2" customHeight="1" x14ac:dyDescent="0.2">
      <c r="A18" s="14" t="s">
        <v>117</v>
      </c>
      <c r="B18" s="15" t="s">
        <v>635</v>
      </c>
      <c r="C18" s="16" t="str">
        <f t="shared" si="0"/>
        <v>hankan1_FamilyMigrationId</v>
      </c>
      <c r="D18" s="15" t="s">
        <v>330</v>
      </c>
    </row>
    <row r="19" spans="1:4" ht="13.2" customHeight="1" x14ac:dyDescent="0.2">
      <c r="A19" s="14" t="s">
        <v>117</v>
      </c>
      <c r="B19" s="15" t="s">
        <v>634</v>
      </c>
      <c r="C19" s="16" t="str">
        <f t="shared" si="0"/>
        <v>hankan1_IsFamilyOwner</v>
      </c>
      <c r="D19" s="15" t="s">
        <v>331</v>
      </c>
    </row>
    <row r="20" spans="1:4" ht="13.2" customHeight="1" x14ac:dyDescent="0.2">
      <c r="A20" s="14" t="s">
        <v>117</v>
      </c>
      <c r="B20" s="15" t="s">
        <v>38</v>
      </c>
      <c r="C20" s="16" t="str">
        <f t="shared" si="0"/>
        <v>hankan1_IsExistingContract</v>
      </c>
      <c r="D20" s="15" t="s">
        <v>332</v>
      </c>
    </row>
    <row r="21" spans="1:4" ht="13.2" customHeight="1" x14ac:dyDescent="0.2">
      <c r="A21" s="14" t="s">
        <v>117</v>
      </c>
      <c r="B21" s="15" t="s">
        <v>39</v>
      </c>
      <c r="C21" s="16" t="str">
        <f t="shared" si="0"/>
        <v>hankan1_FamilyMemo</v>
      </c>
      <c r="D21" s="15" t="s">
        <v>333</v>
      </c>
    </row>
    <row r="22" spans="1:4" ht="13.2" customHeight="1" x14ac:dyDescent="0.2">
      <c r="A22" s="14" t="s">
        <v>117</v>
      </c>
      <c r="B22" s="15" t="s">
        <v>650</v>
      </c>
      <c r="C22" s="16" t="str">
        <f t="shared" ref="C22" si="1">A22&amp;"_"&amp;B22</f>
        <v>hankan1_relation</v>
      </c>
      <c r="D22" s="15" t="s">
        <v>655</v>
      </c>
    </row>
    <row r="23" spans="1:4" ht="13.2" customHeight="1" x14ac:dyDescent="0.2">
      <c r="A23" s="14" t="s">
        <v>117</v>
      </c>
      <c r="B23" s="15" t="s">
        <v>651</v>
      </c>
      <c r="C23" s="16" t="str">
        <f t="shared" si="0"/>
        <v>hankan1_otherrelation</v>
      </c>
      <c r="D23" s="15" t="s">
        <v>653</v>
      </c>
    </row>
    <row r="24" spans="1:4" ht="13.2" hidden="1" customHeight="1" x14ac:dyDescent="0.2">
      <c r="A24" s="14" t="s">
        <v>73</v>
      </c>
      <c r="B24" s="15" t="s">
        <v>562</v>
      </c>
      <c r="C24" s="16" t="str">
        <f t="shared" si="0"/>
        <v>hankan2_AssociateCode</v>
      </c>
      <c r="D24" s="15" t="s">
        <v>337</v>
      </c>
    </row>
    <row r="25" spans="1:4" ht="13.2" hidden="1" customHeight="1" x14ac:dyDescent="0.2">
      <c r="A25" s="14" t="s">
        <v>73</v>
      </c>
      <c r="B25" s="15" t="s">
        <v>27</v>
      </c>
      <c r="C25" s="16" t="str">
        <f t="shared" si="0"/>
        <v>hankan2_CustomerNo</v>
      </c>
      <c r="D25" s="15" t="s">
        <v>334</v>
      </c>
    </row>
    <row r="26" spans="1:4" ht="13.2" hidden="1" customHeight="1" x14ac:dyDescent="0.2">
      <c r="A26" s="14" t="s">
        <v>73</v>
      </c>
      <c r="B26" s="15" t="s">
        <v>34</v>
      </c>
      <c r="C26" s="16" t="str">
        <f t="shared" si="0"/>
        <v>hankan2_PolicyNumber</v>
      </c>
      <c r="D26" s="15" t="s">
        <v>335</v>
      </c>
    </row>
    <row r="27" spans="1:4" ht="13.2" hidden="1" customHeight="1" x14ac:dyDescent="0.2">
      <c r="A27" s="14" t="s">
        <v>73</v>
      </c>
      <c r="B27" s="15" t="s">
        <v>118</v>
      </c>
      <c r="C27" s="16" t="str">
        <f t="shared" si="0"/>
        <v>hankan2_ProductName</v>
      </c>
      <c r="D27" s="15" t="s">
        <v>336</v>
      </c>
    </row>
    <row r="28" spans="1:4" ht="13.2" hidden="1" customHeight="1" x14ac:dyDescent="0.2">
      <c r="A28" s="14" t="s">
        <v>75</v>
      </c>
      <c r="B28" s="15" t="s">
        <v>581</v>
      </c>
      <c r="C28" s="16" t="str">
        <f t="shared" si="0"/>
        <v>hankan3_No</v>
      </c>
      <c r="D28" s="15" t="s">
        <v>582</v>
      </c>
    </row>
    <row r="29" spans="1:4" ht="13.2" hidden="1" customHeight="1" x14ac:dyDescent="0.2">
      <c r="A29" s="14" t="s">
        <v>75</v>
      </c>
      <c r="B29" s="15" t="s">
        <v>26</v>
      </c>
      <c r="C29" s="16" t="str">
        <f t="shared" si="0"/>
        <v>hankan3_AssociateCode</v>
      </c>
      <c r="D29" s="15" t="s">
        <v>337</v>
      </c>
    </row>
    <row r="30" spans="1:4" ht="13.2" hidden="1" customHeight="1" x14ac:dyDescent="0.2">
      <c r="A30" s="14" t="s">
        <v>75</v>
      </c>
      <c r="B30" s="15" t="s">
        <v>27</v>
      </c>
      <c r="C30" s="16" t="str">
        <f t="shared" si="0"/>
        <v>hankan3_CustomerNo</v>
      </c>
      <c r="D30" s="15" t="s">
        <v>334</v>
      </c>
    </row>
    <row r="31" spans="1:4" ht="13.2" hidden="1" customHeight="1" x14ac:dyDescent="0.2">
      <c r="A31" s="14" t="s">
        <v>75</v>
      </c>
      <c r="B31" s="15" t="s">
        <v>119</v>
      </c>
      <c r="C31" s="16" t="str">
        <f t="shared" si="0"/>
        <v>hankan3_RegistrationDate</v>
      </c>
      <c r="D31" s="15" t="s">
        <v>338</v>
      </c>
    </row>
    <row r="32" spans="1:4" ht="13.2" hidden="1" customHeight="1" x14ac:dyDescent="0.2">
      <c r="A32" s="14" t="s">
        <v>75</v>
      </c>
      <c r="B32" s="15" t="s">
        <v>120</v>
      </c>
      <c r="C32" s="16" t="str">
        <f t="shared" si="0"/>
        <v>hankan3_AppChannel</v>
      </c>
      <c r="D32" s="15" t="s">
        <v>339</v>
      </c>
    </row>
    <row r="33" spans="1:4" ht="13.2" hidden="1" customHeight="1" x14ac:dyDescent="0.2">
      <c r="A33" s="14" t="s">
        <v>75</v>
      </c>
      <c r="B33" s="15" t="s">
        <v>121</v>
      </c>
      <c r="C33" s="16" t="str">
        <f t="shared" si="0"/>
        <v>hankan3_ContactNumber</v>
      </c>
      <c r="D33" s="15" t="s">
        <v>340</v>
      </c>
    </row>
    <row r="34" spans="1:4" ht="13.2" hidden="1" customHeight="1" x14ac:dyDescent="0.2">
      <c r="A34" s="14" t="s">
        <v>75</v>
      </c>
      <c r="B34" s="15" t="s">
        <v>122</v>
      </c>
      <c r="C34" s="16" t="str">
        <f t="shared" si="0"/>
        <v>hankan3_Email</v>
      </c>
      <c r="D34" s="15" t="s">
        <v>341</v>
      </c>
    </row>
    <row r="35" spans="1:4" ht="13.2" hidden="1" customHeight="1" x14ac:dyDescent="0.2">
      <c r="A35" s="14" t="s">
        <v>75</v>
      </c>
      <c r="B35" s="15" t="s">
        <v>123</v>
      </c>
      <c r="C35" s="16" t="str">
        <f t="shared" si="0"/>
        <v>hankan3_IntroduceHistory</v>
      </c>
      <c r="D35" s="15" t="s">
        <v>342</v>
      </c>
    </row>
    <row r="36" spans="1:4" ht="10.8" hidden="1" customHeight="1" x14ac:dyDescent="0.2">
      <c r="A36" s="14" t="s">
        <v>75</v>
      </c>
      <c r="B36" s="15" t="s">
        <v>124</v>
      </c>
      <c r="C36" s="16" t="str">
        <f t="shared" si="0"/>
        <v>hankan3_GroupCode</v>
      </c>
      <c r="D36" s="15" t="s">
        <v>343</v>
      </c>
    </row>
    <row r="37" spans="1:4" hidden="1" x14ac:dyDescent="0.2">
      <c r="A37" s="14" t="s">
        <v>75</v>
      </c>
      <c r="B37" s="15" t="s">
        <v>125</v>
      </c>
      <c r="C37" s="16" t="str">
        <f t="shared" si="0"/>
        <v>hankan3_GroupName</v>
      </c>
      <c r="D37" s="15" t="s">
        <v>344</v>
      </c>
    </row>
    <row r="38" spans="1:4" ht="13.2" hidden="1" customHeight="1" x14ac:dyDescent="0.2">
      <c r="A38" s="14" t="s">
        <v>75</v>
      </c>
      <c r="B38" s="15" t="s">
        <v>126</v>
      </c>
      <c r="C38" s="16" t="str">
        <f t="shared" si="0"/>
        <v>hankan3_Operator</v>
      </c>
      <c r="D38" s="15" t="s">
        <v>345</v>
      </c>
    </row>
    <row r="39" spans="1:4" ht="13.2" hidden="1" customHeight="1" x14ac:dyDescent="0.2">
      <c r="A39" s="14" t="s">
        <v>75</v>
      </c>
      <c r="B39" s="15" t="s">
        <v>636</v>
      </c>
      <c r="C39" s="16" t="str">
        <f t="shared" si="0"/>
        <v>hankan3_BenefitReceiptHistoryFlag</v>
      </c>
      <c r="D39" s="15" t="s">
        <v>346</v>
      </c>
    </row>
    <row r="40" spans="1:4" ht="13.2" hidden="1" customHeight="1" x14ac:dyDescent="0.2">
      <c r="A40" s="14" t="s">
        <v>75</v>
      </c>
      <c r="B40" s="15" t="s">
        <v>637</v>
      </c>
      <c r="C40" s="16" t="str">
        <f t="shared" si="0"/>
        <v>hankan3_BenefitReceiptHistoryProduct</v>
      </c>
      <c r="D40" s="15" t="s">
        <v>347</v>
      </c>
    </row>
    <row r="41" spans="1:4" ht="13.2" hidden="1" customHeight="1" x14ac:dyDescent="0.2">
      <c r="A41" s="14" t="s">
        <v>75</v>
      </c>
      <c r="B41" s="15" t="s">
        <v>638</v>
      </c>
      <c r="C41" s="16" t="str">
        <f t="shared" si="0"/>
        <v>hankan3_RefusalHistoryFlag</v>
      </c>
      <c r="D41" s="15" t="s">
        <v>348</v>
      </c>
    </row>
    <row r="42" spans="1:4" ht="13.2" hidden="1" customHeight="1" x14ac:dyDescent="0.2">
      <c r="A42" s="14" t="s">
        <v>75</v>
      </c>
      <c r="B42" s="15" t="s">
        <v>639</v>
      </c>
      <c r="C42" s="16" t="str">
        <f t="shared" si="0"/>
        <v>hankan3_RefusalHistoryProduct</v>
      </c>
      <c r="D42" s="15" t="s">
        <v>349</v>
      </c>
    </row>
    <row r="43" spans="1:4" ht="13.2" hidden="1" customHeight="1" x14ac:dyDescent="0.2">
      <c r="A43" s="14" t="s">
        <v>75</v>
      </c>
      <c r="B43" s="15" t="s">
        <v>640</v>
      </c>
      <c r="C43" s="16" t="str">
        <f t="shared" si="0"/>
        <v>hankan3_AnyGroup</v>
      </c>
      <c r="D43" s="15" t="s">
        <v>350</v>
      </c>
    </row>
    <row r="44" spans="1:4" ht="13.2" hidden="1" customHeight="1" x14ac:dyDescent="0.2">
      <c r="A44" s="14" t="s">
        <v>75</v>
      </c>
      <c r="B44" s="15" t="s">
        <v>127</v>
      </c>
      <c r="C44" s="16" t="str">
        <f t="shared" si="0"/>
        <v>hankan3_CustomerMemo</v>
      </c>
      <c r="D44" s="15" t="s">
        <v>351</v>
      </c>
    </row>
    <row r="45" spans="1:4" ht="13.2" hidden="1" customHeight="1" x14ac:dyDescent="0.2">
      <c r="A45" s="14" t="s">
        <v>583</v>
      </c>
      <c r="B45" s="15" t="s">
        <v>562</v>
      </c>
      <c r="C45" s="16" t="str">
        <f t="shared" si="0"/>
        <v>hankan4_AssociateCode</v>
      </c>
      <c r="D45" s="15" t="s">
        <v>337</v>
      </c>
    </row>
    <row r="46" spans="1:4" ht="10.8" hidden="1" customHeight="1" x14ac:dyDescent="0.2">
      <c r="A46" s="14" t="s">
        <v>583</v>
      </c>
      <c r="B46" s="15" t="s">
        <v>27</v>
      </c>
      <c r="C46" s="16" t="str">
        <f t="shared" si="0"/>
        <v>hankan4_CustomerNo</v>
      </c>
      <c r="D46" s="15" t="s">
        <v>334</v>
      </c>
    </row>
    <row r="47" spans="1:4" ht="13.2" hidden="1" customHeight="1" x14ac:dyDescent="0.2">
      <c r="A47" s="14" t="s">
        <v>77</v>
      </c>
      <c r="B47" s="15" t="s">
        <v>645</v>
      </c>
      <c r="C47" s="16" t="str">
        <f t="shared" si="0"/>
        <v>hankan4_EventDate</v>
      </c>
      <c r="D47" s="15" t="s">
        <v>352</v>
      </c>
    </row>
    <row r="48" spans="1:4" ht="13.2" hidden="1" customHeight="1" x14ac:dyDescent="0.2">
      <c r="A48" s="14" t="s">
        <v>77</v>
      </c>
      <c r="B48" s="15" t="s">
        <v>128</v>
      </c>
      <c r="C48" s="16" t="str">
        <f t="shared" si="0"/>
        <v>hankan4_PersonInChange</v>
      </c>
      <c r="D48" s="15" t="s">
        <v>353</v>
      </c>
    </row>
    <row r="49" spans="1:4" ht="13.2" hidden="1" customHeight="1" x14ac:dyDescent="0.2">
      <c r="A49" s="14" t="s">
        <v>77</v>
      </c>
      <c r="B49" s="15" t="s">
        <v>129</v>
      </c>
      <c r="C49" s="16" t="str">
        <f t="shared" si="0"/>
        <v>hankan4_EventOperator</v>
      </c>
      <c r="D49" s="15" t="s">
        <v>354</v>
      </c>
    </row>
    <row r="50" spans="1:4" ht="10.8" hidden="1" customHeight="1" x14ac:dyDescent="0.2">
      <c r="A50" s="14" t="s">
        <v>77</v>
      </c>
      <c r="B50" s="15" t="s">
        <v>130</v>
      </c>
      <c r="C50" s="16" t="str">
        <f t="shared" si="0"/>
        <v>hankan4_Status</v>
      </c>
      <c r="D50" s="15" t="s">
        <v>355</v>
      </c>
    </row>
    <row r="51" spans="1:4" ht="13.2" hidden="1" customHeight="1" x14ac:dyDescent="0.2">
      <c r="A51" s="14" t="s">
        <v>77</v>
      </c>
      <c r="B51" s="15" t="s">
        <v>131</v>
      </c>
      <c r="C51" s="16" t="str">
        <f t="shared" si="0"/>
        <v>hankan4_NextApp</v>
      </c>
      <c r="D51" s="15" t="s">
        <v>356</v>
      </c>
    </row>
    <row r="52" spans="1:4" ht="13.2" hidden="1" customHeight="1" x14ac:dyDescent="0.2">
      <c r="A52" s="14" t="s">
        <v>77</v>
      </c>
      <c r="B52" s="15" t="s">
        <v>132</v>
      </c>
      <c r="C52" s="16" t="str">
        <f t="shared" si="0"/>
        <v>hankan4_EventComment</v>
      </c>
      <c r="D52" s="15" t="s">
        <v>357</v>
      </c>
    </row>
    <row r="53" spans="1:4" ht="10.8" hidden="1" customHeight="1" x14ac:dyDescent="0.2">
      <c r="A53" s="14" t="s">
        <v>77</v>
      </c>
      <c r="B53" s="15" t="s">
        <v>133</v>
      </c>
      <c r="C53" s="16" t="str">
        <f t="shared" si="0"/>
        <v>hankan4_EventDetail</v>
      </c>
      <c r="D53" s="15" t="s">
        <v>358</v>
      </c>
    </row>
    <row r="54" spans="1:4" hidden="1" x14ac:dyDescent="0.2">
      <c r="A54" s="14" t="s">
        <v>77</v>
      </c>
      <c r="B54" s="15" t="s">
        <v>134</v>
      </c>
      <c r="C54" s="16" t="str">
        <f t="shared" si="0"/>
        <v>hankan4_Product</v>
      </c>
      <c r="D54" s="15" t="s">
        <v>359</v>
      </c>
    </row>
    <row r="55" spans="1:4" ht="13.2" hidden="1" customHeight="1" x14ac:dyDescent="0.2">
      <c r="A55" s="14" t="s">
        <v>77</v>
      </c>
      <c r="B55" s="15" t="s">
        <v>135</v>
      </c>
      <c r="C55" s="16" t="str">
        <f t="shared" si="0"/>
        <v>hankan4_EventMemo</v>
      </c>
      <c r="D55" s="15" t="s">
        <v>360</v>
      </c>
    </row>
    <row r="56" spans="1:4" ht="13.2" hidden="1" customHeight="1" x14ac:dyDescent="0.2">
      <c r="A56" s="14" t="s">
        <v>77</v>
      </c>
      <c r="B56" s="15" t="s">
        <v>136</v>
      </c>
      <c r="C56" s="16" t="str">
        <f t="shared" si="0"/>
        <v>hankan4_AccountMigrationId</v>
      </c>
      <c r="D56" s="15" t="s">
        <v>361</v>
      </c>
    </row>
    <row r="57" spans="1:4" ht="13.2" hidden="1" customHeight="1" x14ac:dyDescent="0.2">
      <c r="A57" s="14" t="s">
        <v>77</v>
      </c>
      <c r="B57" s="15" t="s">
        <v>631</v>
      </c>
      <c r="C57" s="16" t="str">
        <f t="shared" si="0"/>
        <v>hankan4_AccountName</v>
      </c>
      <c r="D57" s="15" t="s">
        <v>362</v>
      </c>
    </row>
    <row r="58" spans="1:4" ht="13.2" hidden="1" customHeight="1" x14ac:dyDescent="0.2">
      <c r="A58" s="14" t="s">
        <v>79</v>
      </c>
      <c r="B58" s="15" t="s">
        <v>562</v>
      </c>
      <c r="C58" s="16" t="str">
        <f t="shared" si="0"/>
        <v>hankan5_AssociateCode</v>
      </c>
      <c r="D58" s="15" t="s">
        <v>337</v>
      </c>
    </row>
    <row r="59" spans="1:4" ht="13.2" hidden="1" customHeight="1" x14ac:dyDescent="0.2">
      <c r="A59" s="14" t="s">
        <v>79</v>
      </c>
      <c r="B59" s="15" t="s">
        <v>27</v>
      </c>
      <c r="C59" s="16" t="str">
        <f t="shared" si="0"/>
        <v>hankan5_CustomerNo</v>
      </c>
      <c r="D59" s="15" t="s">
        <v>334</v>
      </c>
    </row>
    <row r="60" spans="1:4" ht="10.8" hidden="1" customHeight="1" x14ac:dyDescent="0.2">
      <c r="A60" s="14" t="s">
        <v>79</v>
      </c>
      <c r="B60" s="15" t="s">
        <v>137</v>
      </c>
      <c r="C60" s="16" t="str">
        <f t="shared" si="0"/>
        <v>hankan5_CompanyName</v>
      </c>
      <c r="D60" s="15" t="s">
        <v>363</v>
      </c>
    </row>
    <row r="61" spans="1:4" ht="13.2" hidden="1" customHeight="1" x14ac:dyDescent="0.2">
      <c r="A61" s="14" t="s">
        <v>79</v>
      </c>
      <c r="B61" s="15" t="s">
        <v>134</v>
      </c>
      <c r="C61" s="16" t="str">
        <f t="shared" si="0"/>
        <v>hankan5_Product</v>
      </c>
      <c r="D61" s="15" t="s">
        <v>359</v>
      </c>
    </row>
    <row r="62" spans="1:4" ht="13.2" hidden="1" customHeight="1" x14ac:dyDescent="0.2">
      <c r="A62" s="14" t="s">
        <v>79</v>
      </c>
      <c r="B62" s="15" t="s">
        <v>34</v>
      </c>
      <c r="C62" s="16" t="str">
        <f t="shared" si="0"/>
        <v>hankan5_PolicyNumber</v>
      </c>
      <c r="D62" s="15" t="s">
        <v>364</v>
      </c>
    </row>
    <row r="63" spans="1:4" ht="13.2" hidden="1" customHeight="1" x14ac:dyDescent="0.2">
      <c r="A63" s="14" t="s">
        <v>79</v>
      </c>
      <c r="B63" s="15" t="s">
        <v>138</v>
      </c>
      <c r="C63" s="16" t="str">
        <f t="shared" si="0"/>
        <v>hankan5_ExpirationDate</v>
      </c>
      <c r="D63" s="15" t="s">
        <v>365</v>
      </c>
    </row>
    <row r="64" spans="1:4" ht="13.2" hidden="1" customHeight="1" x14ac:dyDescent="0.2">
      <c r="A64" s="14" t="s">
        <v>79</v>
      </c>
      <c r="B64" s="15" t="s">
        <v>136</v>
      </c>
      <c r="C64" s="16" t="str">
        <f t="shared" si="0"/>
        <v>hankan5_AccountMigrationId</v>
      </c>
      <c r="D64" s="15" t="s">
        <v>361</v>
      </c>
    </row>
    <row r="65" spans="1:4" ht="13.2" hidden="1" customHeight="1" x14ac:dyDescent="0.2">
      <c r="A65" s="14" t="s">
        <v>81</v>
      </c>
      <c r="B65" s="15" t="s">
        <v>562</v>
      </c>
      <c r="C65" s="16" t="str">
        <f t="shared" si="0"/>
        <v>hankan6_AssociateCode</v>
      </c>
      <c r="D65" s="15" t="s">
        <v>337</v>
      </c>
    </row>
    <row r="66" spans="1:4" ht="13.2" hidden="1" customHeight="1" x14ac:dyDescent="0.2">
      <c r="A66" s="14" t="s">
        <v>81</v>
      </c>
      <c r="B66" s="15" t="s">
        <v>27</v>
      </c>
      <c r="C66" s="16" t="str">
        <f t="shared" si="0"/>
        <v>hankan6_CustomerNo</v>
      </c>
      <c r="D66" s="15" t="s">
        <v>334</v>
      </c>
    </row>
    <row r="67" spans="1:4" ht="13.2" hidden="1" customHeight="1" x14ac:dyDescent="0.2">
      <c r="A67" s="14" t="s">
        <v>81</v>
      </c>
      <c r="B67" s="15" t="s">
        <v>28</v>
      </c>
      <c r="C67" s="16" t="str">
        <f t="shared" si="0"/>
        <v>hankan6_NameKana</v>
      </c>
      <c r="D67" s="15" t="s">
        <v>366</v>
      </c>
    </row>
    <row r="68" spans="1:4" ht="10.8" hidden="1" customHeight="1" x14ac:dyDescent="0.2">
      <c r="A68" s="14" t="s">
        <v>81</v>
      </c>
      <c r="B68" s="15" t="s">
        <v>29</v>
      </c>
      <c r="C68" s="16" t="str">
        <f t="shared" si="0"/>
        <v>hankan6_Name</v>
      </c>
      <c r="D68" s="15" t="s">
        <v>367</v>
      </c>
    </row>
    <row r="69" spans="1:4" hidden="1" x14ac:dyDescent="0.2">
      <c r="A69" s="14" t="s">
        <v>81</v>
      </c>
      <c r="B69" s="15" t="s">
        <v>35</v>
      </c>
      <c r="C69" s="16" t="str">
        <f t="shared" si="0"/>
        <v>hankan6_Birthday</v>
      </c>
      <c r="D69" s="15" t="s">
        <v>368</v>
      </c>
    </row>
    <row r="70" spans="1:4" hidden="1" x14ac:dyDescent="0.2">
      <c r="A70" s="14" t="s">
        <v>81</v>
      </c>
      <c r="B70" s="15" t="s">
        <v>30</v>
      </c>
      <c r="C70" s="16" t="str">
        <f t="shared" si="0"/>
        <v>hankan6_Sex</v>
      </c>
      <c r="D70" s="15" t="s">
        <v>369</v>
      </c>
    </row>
    <row r="71" spans="1:4" hidden="1" x14ac:dyDescent="0.2">
      <c r="A71" s="14" t="s">
        <v>81</v>
      </c>
      <c r="B71" s="15" t="s">
        <v>139</v>
      </c>
      <c r="C71" s="16" t="str">
        <f t="shared" si="0"/>
        <v>hankan6_Relation</v>
      </c>
      <c r="D71" s="15" t="s">
        <v>370</v>
      </c>
    </row>
    <row r="72" spans="1:4" hidden="1" x14ac:dyDescent="0.2">
      <c r="A72" s="14" t="s">
        <v>81</v>
      </c>
      <c r="B72" s="15" t="s">
        <v>140</v>
      </c>
      <c r="C72" s="16" t="str">
        <f t="shared" ref="C72:C135" si="2">A72&amp;"_"&amp;B72</f>
        <v>hankan6_Memo</v>
      </c>
      <c r="D72" s="15" t="s">
        <v>371</v>
      </c>
    </row>
    <row r="73" spans="1:4" hidden="1" x14ac:dyDescent="0.2">
      <c r="A73" s="14" t="s">
        <v>83</v>
      </c>
      <c r="B73" s="15" t="s">
        <v>590</v>
      </c>
      <c r="C73" s="16" t="str">
        <f t="shared" si="2"/>
        <v>UserInfo_UserId</v>
      </c>
      <c r="D73" s="15" t="s">
        <v>572</v>
      </c>
    </row>
    <row r="74" spans="1:4" ht="13.2" hidden="1" customHeight="1" x14ac:dyDescent="0.2">
      <c r="A74" s="14" t="s">
        <v>83</v>
      </c>
      <c r="B74" s="15" t="s">
        <v>29</v>
      </c>
      <c r="C74" s="16" t="str">
        <f t="shared" si="2"/>
        <v>UserInfo_Name</v>
      </c>
      <c r="D74" s="15" t="s">
        <v>372</v>
      </c>
    </row>
    <row r="75" spans="1:4" ht="13.2" hidden="1" customHeight="1" x14ac:dyDescent="0.2">
      <c r="A75" s="14" t="s">
        <v>83</v>
      </c>
      <c r="B75" s="15" t="s">
        <v>141</v>
      </c>
      <c r="C75" s="16" t="str">
        <f t="shared" si="2"/>
        <v>UserInfo_ContactId</v>
      </c>
      <c r="D75" s="15" t="s">
        <v>373</v>
      </c>
    </row>
    <row r="76" spans="1:4" ht="13.2" hidden="1" customHeight="1" x14ac:dyDescent="0.2">
      <c r="A76" s="14" t="s">
        <v>83</v>
      </c>
      <c r="B76" s="15" t="s">
        <v>574</v>
      </c>
      <c r="C76" s="16" t="str">
        <f t="shared" si="2"/>
        <v>UserInfo_AssociateCode</v>
      </c>
      <c r="D76" s="15" t="s">
        <v>337</v>
      </c>
    </row>
    <row r="77" spans="1:4" ht="13.2" hidden="1" customHeight="1" x14ac:dyDescent="0.2">
      <c r="A77" s="14" t="s">
        <v>83</v>
      </c>
      <c r="B77" s="15" t="s">
        <v>142</v>
      </c>
      <c r="C77" s="16" t="str">
        <f t="shared" si="2"/>
        <v>UserInfo_AgencyCode</v>
      </c>
      <c r="D77" s="15" t="s">
        <v>374</v>
      </c>
    </row>
    <row r="78" spans="1:4" ht="10.8" hidden="1" customHeight="1" x14ac:dyDescent="0.2">
      <c r="A78" s="14" t="s">
        <v>83</v>
      </c>
      <c r="B78" s="15" t="s">
        <v>143</v>
      </c>
      <c r="C78" s="16" t="str">
        <f t="shared" si="2"/>
        <v>UserInfo_AgentEntryNumber</v>
      </c>
      <c r="D78" s="15" t="s">
        <v>375</v>
      </c>
    </row>
    <row r="79" spans="1:4" hidden="1" x14ac:dyDescent="0.2">
      <c r="A79" s="14" t="s">
        <v>85</v>
      </c>
      <c r="B79" s="15" t="s">
        <v>584</v>
      </c>
      <c r="C79" s="16" t="str">
        <f t="shared" si="2"/>
        <v>RecordType_Id</v>
      </c>
      <c r="D79" s="15" t="s">
        <v>573</v>
      </c>
    </row>
    <row r="80" spans="1:4" ht="13.2" hidden="1" customHeight="1" x14ac:dyDescent="0.2">
      <c r="A80" s="14" t="s">
        <v>85</v>
      </c>
      <c r="B80" s="15" t="s">
        <v>29</v>
      </c>
      <c r="C80" s="16" t="str">
        <f t="shared" si="2"/>
        <v>RecordType_Name</v>
      </c>
      <c r="D80" s="15" t="s">
        <v>372</v>
      </c>
    </row>
    <row r="81" spans="1:4" ht="10.8" hidden="1" customHeight="1" x14ac:dyDescent="0.2">
      <c r="A81" s="14" t="s">
        <v>85</v>
      </c>
      <c r="B81" s="15" t="s">
        <v>144</v>
      </c>
      <c r="C81" s="16" t="str">
        <f t="shared" si="2"/>
        <v>RecordType_SobjectType</v>
      </c>
      <c r="D81" s="15" t="s">
        <v>376</v>
      </c>
    </row>
    <row r="82" spans="1:4" hidden="1" x14ac:dyDescent="0.2">
      <c r="A82" s="14" t="s">
        <v>87</v>
      </c>
      <c r="B82" s="15" t="s">
        <v>584</v>
      </c>
      <c r="C82" s="16" t="str">
        <f t="shared" si="2"/>
        <v>AssociateInfo_Id</v>
      </c>
      <c r="D82" s="15" t="s">
        <v>573</v>
      </c>
    </row>
    <row r="83" spans="1:4" ht="13.2" hidden="1" customHeight="1" x14ac:dyDescent="0.2">
      <c r="A83" s="14" t="s">
        <v>87</v>
      </c>
      <c r="B83" s="15" t="s">
        <v>145</v>
      </c>
      <c r="C83" s="16" t="str">
        <f t="shared" si="2"/>
        <v>AssociateInfo_NAME</v>
      </c>
      <c r="D83" s="15" t="s">
        <v>372</v>
      </c>
    </row>
    <row r="84" spans="1:4" ht="13.2" hidden="1" customHeight="1" x14ac:dyDescent="0.2">
      <c r="A84" s="14" t="s">
        <v>87</v>
      </c>
      <c r="B84" s="15" t="s">
        <v>574</v>
      </c>
      <c r="C84" s="16" t="str">
        <f t="shared" si="2"/>
        <v>AssociateInfo_AssociateCode</v>
      </c>
      <c r="D84" s="15" t="s">
        <v>337</v>
      </c>
    </row>
    <row r="85" spans="1:4" ht="13.2" hidden="1" customHeight="1" x14ac:dyDescent="0.2">
      <c r="A85" s="14" t="s">
        <v>87</v>
      </c>
      <c r="B85" s="15" t="s">
        <v>592</v>
      </c>
      <c r="C85" s="16" t="str">
        <f t="shared" si="2"/>
        <v>AssociateInfo_AgencyCode</v>
      </c>
      <c r="D85" s="15" t="s">
        <v>374</v>
      </c>
    </row>
    <row r="86" spans="1:4" ht="13.2" hidden="1" customHeight="1" x14ac:dyDescent="0.2">
      <c r="A86" s="14" t="s">
        <v>89</v>
      </c>
      <c r="B86" s="15" t="s">
        <v>584</v>
      </c>
      <c r="C86" s="16" t="str">
        <f t="shared" si="2"/>
        <v>ExistingContractInfo_Id</v>
      </c>
      <c r="D86" s="15" t="s">
        <v>573</v>
      </c>
    </row>
    <row r="87" spans="1:4" ht="10.8" hidden="1" customHeight="1" x14ac:dyDescent="0.2">
      <c r="A87" s="14" t="s">
        <v>89</v>
      </c>
      <c r="B87" s="15" t="s">
        <v>34</v>
      </c>
      <c r="C87" s="16" t="str">
        <f t="shared" si="2"/>
        <v>ExistingContractInfo_PolicyNumber</v>
      </c>
      <c r="D87" s="15" t="s">
        <v>364</v>
      </c>
    </row>
    <row r="88" spans="1:4" ht="13.2" hidden="1" customHeight="1" x14ac:dyDescent="0.2">
      <c r="A88" s="14" t="s">
        <v>89</v>
      </c>
      <c r="B88" s="15" t="s">
        <v>28</v>
      </c>
      <c r="C88" s="16" t="str">
        <f t="shared" si="2"/>
        <v>ExistingContractInfo_NameKana</v>
      </c>
      <c r="D88" s="15" t="s">
        <v>377</v>
      </c>
    </row>
    <row r="89" spans="1:4" ht="10.8" hidden="1" customHeight="1" x14ac:dyDescent="0.2">
      <c r="A89" s="14" t="s">
        <v>89</v>
      </c>
      <c r="B89" s="15" t="s">
        <v>29</v>
      </c>
      <c r="C89" s="16" t="str">
        <f t="shared" si="2"/>
        <v>ExistingContractInfo_Name</v>
      </c>
      <c r="D89" s="15" t="s">
        <v>367</v>
      </c>
    </row>
    <row r="90" spans="1:4" hidden="1" x14ac:dyDescent="0.2">
      <c r="A90" s="14" t="s">
        <v>89</v>
      </c>
      <c r="B90" s="15" t="s">
        <v>30</v>
      </c>
      <c r="C90" s="16" t="str">
        <f t="shared" si="2"/>
        <v>ExistingContractInfo_Sex</v>
      </c>
      <c r="D90" s="15" t="s">
        <v>369</v>
      </c>
    </row>
    <row r="91" spans="1:4" ht="13.2" hidden="1" customHeight="1" x14ac:dyDescent="0.2">
      <c r="A91" s="14" t="s">
        <v>89</v>
      </c>
      <c r="B91" s="15" t="s">
        <v>35</v>
      </c>
      <c r="C91" s="16" t="str">
        <f t="shared" si="2"/>
        <v>ExistingContractInfo_Birthday</v>
      </c>
      <c r="D91" s="15" t="s">
        <v>368</v>
      </c>
    </row>
    <row r="92" spans="1:4" ht="10.8" hidden="1" customHeight="1" x14ac:dyDescent="0.2">
      <c r="A92" s="14" t="s">
        <v>89</v>
      </c>
      <c r="B92" s="15" t="s">
        <v>31</v>
      </c>
      <c r="C92" s="16" t="str">
        <f t="shared" si="2"/>
        <v>ExistingContractInfo_PostalCode</v>
      </c>
      <c r="D92" s="15" t="s">
        <v>378</v>
      </c>
    </row>
    <row r="93" spans="1:4" hidden="1" x14ac:dyDescent="0.2">
      <c r="A93" s="14" t="s">
        <v>89</v>
      </c>
      <c r="B93" s="15" t="s">
        <v>146</v>
      </c>
      <c r="C93" s="16" t="str">
        <f t="shared" si="2"/>
        <v>ExistingContractInfo_Phone</v>
      </c>
      <c r="D93" s="15" t="s">
        <v>379</v>
      </c>
    </row>
    <row r="94" spans="1:4" ht="13.2" hidden="1" customHeight="1" x14ac:dyDescent="0.2">
      <c r="A94" s="14" t="s">
        <v>89</v>
      </c>
      <c r="B94" s="15" t="s">
        <v>32</v>
      </c>
      <c r="C94" s="16" t="str">
        <f t="shared" si="2"/>
        <v>ExistingContractInfo_Address</v>
      </c>
      <c r="D94" s="15" t="s">
        <v>380</v>
      </c>
    </row>
    <row r="95" spans="1:4" ht="13.2" hidden="1" customHeight="1" x14ac:dyDescent="0.2">
      <c r="A95" s="14" t="s">
        <v>89</v>
      </c>
      <c r="B95" s="15" t="s">
        <v>26</v>
      </c>
      <c r="C95" s="16" t="str">
        <f t="shared" si="2"/>
        <v>ExistingContractInfo_AssociateCode</v>
      </c>
      <c r="D95" s="15" t="s">
        <v>337</v>
      </c>
    </row>
    <row r="96" spans="1:4" ht="10.8" hidden="1" customHeight="1" x14ac:dyDescent="0.2">
      <c r="A96" s="14" t="s">
        <v>89</v>
      </c>
      <c r="B96" s="15" t="s">
        <v>124</v>
      </c>
      <c r="C96" s="16" t="str">
        <f t="shared" si="2"/>
        <v>ExistingContractInfo_GroupCode</v>
      </c>
      <c r="D96" s="15" t="s">
        <v>343</v>
      </c>
    </row>
    <row r="97" spans="1:4" ht="13.2" hidden="1" customHeight="1" x14ac:dyDescent="0.2">
      <c r="A97" s="14" t="s">
        <v>89</v>
      </c>
      <c r="B97" s="15" t="s">
        <v>125</v>
      </c>
      <c r="C97" s="16" t="str">
        <f t="shared" si="2"/>
        <v>ExistingContractInfo_GroupName</v>
      </c>
      <c r="D97" s="15" t="s">
        <v>344</v>
      </c>
    </row>
    <row r="98" spans="1:4" ht="13.2" hidden="1" customHeight="1" x14ac:dyDescent="0.2">
      <c r="A98" s="14" t="s">
        <v>89</v>
      </c>
      <c r="B98" s="15" t="s">
        <v>643</v>
      </c>
      <c r="C98" s="16" t="str">
        <f t="shared" si="2"/>
        <v>ExistingContractInfo_AccountMigrationId</v>
      </c>
      <c r="D98" s="15" t="s">
        <v>381</v>
      </c>
    </row>
    <row r="99" spans="1:4" ht="10.8" hidden="1" customHeight="1" x14ac:dyDescent="0.2">
      <c r="A99" s="14" t="s">
        <v>89</v>
      </c>
      <c r="B99" s="15" t="s">
        <v>147</v>
      </c>
      <c r="C99" s="16" t="str">
        <f t="shared" si="2"/>
        <v>ExistingContractInfo_LastModifiedDate</v>
      </c>
      <c r="D99" s="15" t="s">
        <v>382</v>
      </c>
    </row>
    <row r="100" spans="1:4" ht="13.2" hidden="1" customHeight="1" x14ac:dyDescent="0.2">
      <c r="A100" s="14" t="s">
        <v>89</v>
      </c>
      <c r="B100" s="15" t="s">
        <v>148</v>
      </c>
      <c r="C100" s="16" t="str">
        <f t="shared" si="2"/>
        <v>ExistingContractInfo_IsActive</v>
      </c>
      <c r="D100" s="15" t="s">
        <v>383</v>
      </c>
    </row>
    <row r="101" spans="1:4" ht="13.2" hidden="1" customHeight="1" x14ac:dyDescent="0.2">
      <c r="A101" s="14" t="s">
        <v>89</v>
      </c>
      <c r="B101" s="15" t="s">
        <v>37</v>
      </c>
      <c r="C101" s="16" t="str">
        <f t="shared" si="2"/>
        <v>ExistingContractInfo_GroupMigrationId</v>
      </c>
      <c r="D101" s="15" t="s">
        <v>384</v>
      </c>
    </row>
    <row r="102" spans="1:4" ht="13.2" hidden="1" customHeight="1" x14ac:dyDescent="0.2">
      <c r="A102" s="14" t="s">
        <v>91</v>
      </c>
      <c r="B102" s="15" t="s">
        <v>562</v>
      </c>
      <c r="C102" s="16" t="str">
        <f t="shared" si="2"/>
        <v>GroupSalesAssociate_AssociateCode</v>
      </c>
      <c r="D102" s="15" t="s">
        <v>337</v>
      </c>
    </row>
    <row r="103" spans="1:4" ht="13.2" hidden="1" customHeight="1" x14ac:dyDescent="0.2">
      <c r="A103" s="14" t="s">
        <v>91</v>
      </c>
      <c r="B103" s="15" t="s">
        <v>124</v>
      </c>
      <c r="C103" s="16" t="str">
        <f t="shared" si="2"/>
        <v>GroupSalesAssociate_GroupCode</v>
      </c>
      <c r="D103" s="15" t="s">
        <v>343</v>
      </c>
    </row>
    <row r="104" spans="1:4" ht="10.8" hidden="1" customHeight="1" x14ac:dyDescent="0.2">
      <c r="A104" s="14" t="s">
        <v>91</v>
      </c>
      <c r="B104" s="15" t="s">
        <v>36</v>
      </c>
      <c r="C104" s="16" t="str">
        <f t="shared" si="2"/>
        <v>GroupSalesAssociate_MigrationId</v>
      </c>
      <c r="D104" s="15" t="s">
        <v>385</v>
      </c>
    </row>
    <row r="105" spans="1:4" ht="13.2" hidden="1" customHeight="1" x14ac:dyDescent="0.2">
      <c r="A105" s="14" t="s">
        <v>91</v>
      </c>
      <c r="B105" s="15" t="s">
        <v>29</v>
      </c>
      <c r="C105" s="16" t="str">
        <f t="shared" si="2"/>
        <v>GroupSalesAssociate_Name</v>
      </c>
      <c r="D105" s="15" t="s">
        <v>344</v>
      </c>
    </row>
    <row r="106" spans="1:4" ht="13.2" hidden="1" customHeight="1" x14ac:dyDescent="0.2">
      <c r="A106" s="14" t="s">
        <v>93</v>
      </c>
      <c r="B106" s="15" t="s">
        <v>567</v>
      </c>
      <c r="C106" s="16" t="str">
        <f t="shared" si="2"/>
        <v>org_MIGRATIONACCOUNT_ID__C</v>
      </c>
      <c r="D106" s="15" t="s">
        <v>568</v>
      </c>
    </row>
    <row r="107" spans="1:4" ht="13.2" hidden="1" customHeight="1" x14ac:dyDescent="0.2">
      <c r="A107" s="14" t="s">
        <v>93</v>
      </c>
      <c r="B107" s="15" t="s">
        <v>149</v>
      </c>
      <c r="C107" s="16" t="str">
        <f t="shared" si="2"/>
        <v>org_PARENTGROUP__C</v>
      </c>
      <c r="D107" s="15" t="s">
        <v>386</v>
      </c>
    </row>
    <row r="108" spans="1:4" ht="13.2" hidden="1" customHeight="1" x14ac:dyDescent="0.2">
      <c r="A108" s="14" t="s">
        <v>93</v>
      </c>
      <c r="B108" s="15" t="s">
        <v>150</v>
      </c>
      <c r="C108" s="16" t="str">
        <f t="shared" si="2"/>
        <v>org_GROUPHIERARCHY__C</v>
      </c>
      <c r="D108" s="15" t="s">
        <v>387</v>
      </c>
    </row>
    <row r="109" spans="1:4" ht="10.8" hidden="1" customHeight="1" x14ac:dyDescent="0.2">
      <c r="A109" s="14" t="s">
        <v>93</v>
      </c>
      <c r="B109" s="15" t="s">
        <v>151</v>
      </c>
      <c r="C109" s="16" t="str">
        <f t="shared" si="2"/>
        <v>org_GROUPCODE__C</v>
      </c>
      <c r="D109" s="15" t="s">
        <v>388</v>
      </c>
    </row>
    <row r="110" spans="1:4" ht="13.2" hidden="1" customHeight="1" x14ac:dyDescent="0.2">
      <c r="A110" s="14" t="s">
        <v>93</v>
      </c>
      <c r="B110" s="15" t="s">
        <v>145</v>
      </c>
      <c r="C110" s="16" t="str">
        <f t="shared" si="2"/>
        <v>org_NAME</v>
      </c>
      <c r="D110" s="15" t="s">
        <v>372</v>
      </c>
    </row>
    <row r="111" spans="1:4" ht="13.2" hidden="1" customHeight="1" x14ac:dyDescent="0.2">
      <c r="A111" s="14" t="s">
        <v>93</v>
      </c>
      <c r="B111" s="15" t="s">
        <v>152</v>
      </c>
      <c r="C111" s="16" t="str">
        <f t="shared" si="2"/>
        <v>org_NAMEKANA__C</v>
      </c>
      <c r="D111" s="15" t="s">
        <v>389</v>
      </c>
    </row>
    <row r="112" spans="1:4" ht="13.2" hidden="1" customHeight="1" x14ac:dyDescent="0.2">
      <c r="A112" s="14" t="s">
        <v>93</v>
      </c>
      <c r="B112" s="15" t="s">
        <v>153</v>
      </c>
      <c r="C112" s="16" t="str">
        <f t="shared" si="2"/>
        <v>org_BILLINGPOSTALCODE</v>
      </c>
      <c r="D112" s="15" t="s">
        <v>390</v>
      </c>
    </row>
    <row r="113" spans="1:4" ht="13.2" hidden="1" customHeight="1" x14ac:dyDescent="0.2">
      <c r="A113" s="14" t="s">
        <v>93</v>
      </c>
      <c r="B113" s="15" t="s">
        <v>154</v>
      </c>
      <c r="C113" s="16" t="str">
        <f t="shared" si="2"/>
        <v>org_BILLINGCOUNTRY</v>
      </c>
      <c r="D113" s="15" t="s">
        <v>391</v>
      </c>
    </row>
    <row r="114" spans="1:4" ht="13.2" hidden="1" customHeight="1" x14ac:dyDescent="0.2">
      <c r="A114" s="14" t="s">
        <v>93</v>
      </c>
      <c r="B114" s="15" t="s">
        <v>155</v>
      </c>
      <c r="C114" s="16" t="str">
        <f t="shared" si="2"/>
        <v>org_BILLINGSTATE</v>
      </c>
      <c r="D114" s="15" t="s">
        <v>392</v>
      </c>
    </row>
    <row r="115" spans="1:4" ht="13.2" hidden="1" customHeight="1" x14ac:dyDescent="0.2">
      <c r="A115" s="14" t="s">
        <v>93</v>
      </c>
      <c r="B115" s="15" t="s">
        <v>156</v>
      </c>
      <c r="C115" s="16" t="str">
        <f t="shared" si="2"/>
        <v>org_BILLINGCITY</v>
      </c>
      <c r="D115" s="15" t="s">
        <v>393</v>
      </c>
    </row>
    <row r="116" spans="1:4" ht="13.2" hidden="1" customHeight="1" x14ac:dyDescent="0.2">
      <c r="A116" s="14" t="s">
        <v>93</v>
      </c>
      <c r="B116" s="15" t="s">
        <v>157</v>
      </c>
      <c r="C116" s="16" t="str">
        <f t="shared" si="2"/>
        <v>org_BILLINGSTREET</v>
      </c>
      <c r="D116" s="15" t="s">
        <v>394</v>
      </c>
    </row>
    <row r="117" spans="1:4" ht="13.2" hidden="1" customHeight="1" x14ac:dyDescent="0.2">
      <c r="A117" s="14" t="s">
        <v>93</v>
      </c>
      <c r="B117" s="15" t="s">
        <v>158</v>
      </c>
      <c r="C117" s="16" t="str">
        <f t="shared" si="2"/>
        <v>org_ADDRESSKANA__C</v>
      </c>
      <c r="D117" s="15" t="s">
        <v>395</v>
      </c>
    </row>
    <row r="118" spans="1:4" ht="13.2" hidden="1" customHeight="1" x14ac:dyDescent="0.2">
      <c r="A118" s="14" t="s">
        <v>93</v>
      </c>
      <c r="B118" s="15" t="s">
        <v>159</v>
      </c>
      <c r="C118" s="16" t="str">
        <f t="shared" si="2"/>
        <v>org_PHONE</v>
      </c>
      <c r="D118" s="15" t="s">
        <v>396</v>
      </c>
    </row>
    <row r="119" spans="1:4" ht="10.8" hidden="1" customHeight="1" x14ac:dyDescent="0.2">
      <c r="A119" s="14" t="s">
        <v>93</v>
      </c>
      <c r="B119" s="15" t="s">
        <v>160</v>
      </c>
      <c r="C119" s="16" t="str">
        <f t="shared" si="2"/>
        <v>org_FAX</v>
      </c>
      <c r="D119" s="15" t="s">
        <v>397</v>
      </c>
    </row>
    <row r="120" spans="1:4" ht="13.2" hidden="1" customHeight="1" x14ac:dyDescent="0.2">
      <c r="A120" s="14" t="s">
        <v>93</v>
      </c>
      <c r="B120" s="15" t="s">
        <v>161</v>
      </c>
      <c r="C120" s="16" t="str">
        <f t="shared" si="2"/>
        <v>org_URL__C</v>
      </c>
      <c r="D120" s="15" t="s">
        <v>398</v>
      </c>
    </row>
    <row r="121" spans="1:4" ht="13.2" hidden="1" customHeight="1" x14ac:dyDescent="0.2">
      <c r="A121" s="14" t="s">
        <v>93</v>
      </c>
      <c r="B121" s="15" t="s">
        <v>162</v>
      </c>
      <c r="C121" s="16" t="str">
        <f t="shared" si="2"/>
        <v>org_INDUSTRY__C</v>
      </c>
      <c r="D121" s="15" t="s">
        <v>399</v>
      </c>
    </row>
    <row r="122" spans="1:4" ht="13.2" hidden="1" customHeight="1" x14ac:dyDescent="0.2">
      <c r="A122" s="14" t="s">
        <v>93</v>
      </c>
      <c r="B122" s="15" t="s">
        <v>163</v>
      </c>
      <c r="C122" s="16" t="str">
        <f t="shared" si="2"/>
        <v>org_BUSINESSDESCRIPTION__C</v>
      </c>
      <c r="D122" s="15" t="s">
        <v>400</v>
      </c>
    </row>
    <row r="123" spans="1:4" ht="13.2" hidden="1" customHeight="1" x14ac:dyDescent="0.2">
      <c r="A123" s="14" t="s">
        <v>93</v>
      </c>
      <c r="B123" s="15" t="s">
        <v>164</v>
      </c>
      <c r="C123" s="16" t="str">
        <f t="shared" si="2"/>
        <v>org_NUMBEROFEMPLOYEES</v>
      </c>
      <c r="D123" s="15" t="s">
        <v>401</v>
      </c>
    </row>
    <row r="124" spans="1:4" ht="13.2" hidden="1" customHeight="1" x14ac:dyDescent="0.2">
      <c r="A124" s="14" t="s">
        <v>93</v>
      </c>
      <c r="B124" s="15" t="s">
        <v>622</v>
      </c>
      <c r="C124" s="16" t="str">
        <f t="shared" si="2"/>
        <v>org_CONTRACTNUMBER__C</v>
      </c>
      <c r="D124" s="15" t="s">
        <v>402</v>
      </c>
    </row>
    <row r="125" spans="1:4" ht="13.2" hidden="1" customHeight="1" x14ac:dyDescent="0.2">
      <c r="A125" s="14" t="s">
        <v>93</v>
      </c>
      <c r="B125" s="15" t="s">
        <v>165</v>
      </c>
      <c r="C125" s="16" t="str">
        <f t="shared" si="2"/>
        <v>org_RETIREMENTAGE__C</v>
      </c>
      <c r="D125" s="15" t="s">
        <v>403</v>
      </c>
    </row>
    <row r="126" spans="1:4" ht="13.2" hidden="1" customHeight="1" x14ac:dyDescent="0.2">
      <c r="A126" s="14" t="s">
        <v>93</v>
      </c>
      <c r="B126" s="15" t="s">
        <v>166</v>
      </c>
      <c r="C126" s="16" t="str">
        <f t="shared" si="2"/>
        <v>org_GROUPSTATUS__C</v>
      </c>
      <c r="D126" s="15" t="s">
        <v>404</v>
      </c>
    </row>
    <row r="127" spans="1:4" ht="13.2" hidden="1" customHeight="1" x14ac:dyDescent="0.2">
      <c r="A127" s="14" t="s">
        <v>93</v>
      </c>
      <c r="B127" s="15" t="s">
        <v>167</v>
      </c>
      <c r="C127" s="16" t="str">
        <f t="shared" si="2"/>
        <v>org_GROUPREGISTRATIONDATE__C</v>
      </c>
      <c r="D127" s="15" t="s">
        <v>405</v>
      </c>
    </row>
    <row r="128" spans="1:4" ht="13.2" hidden="1" customHeight="1" x14ac:dyDescent="0.2">
      <c r="A128" s="14" t="s">
        <v>93</v>
      </c>
      <c r="B128" s="15" t="s">
        <v>168</v>
      </c>
      <c r="C128" s="16" t="str">
        <f t="shared" si="2"/>
        <v>org_GROUPDEREGISTRATIONDATE__C</v>
      </c>
      <c r="D128" s="15" t="s">
        <v>406</v>
      </c>
    </row>
    <row r="129" spans="1:4" ht="13.2" hidden="1" customHeight="1" x14ac:dyDescent="0.2">
      <c r="A129" s="14" t="s">
        <v>93</v>
      </c>
      <c r="B129" s="15" t="s">
        <v>169</v>
      </c>
      <c r="C129" s="16" t="str">
        <f t="shared" si="2"/>
        <v>org_PAPERWORKDEPARTMENT__C</v>
      </c>
      <c r="D129" s="15" t="s">
        <v>407</v>
      </c>
    </row>
    <row r="130" spans="1:4" ht="13.2" hidden="1" customHeight="1" x14ac:dyDescent="0.2">
      <c r="A130" s="14" t="s">
        <v>93</v>
      </c>
      <c r="B130" s="15" t="s">
        <v>170</v>
      </c>
      <c r="C130" s="16" t="str">
        <f t="shared" si="2"/>
        <v>org_PAPERWORKPOSITION__C</v>
      </c>
      <c r="D130" s="15" t="s">
        <v>408</v>
      </c>
    </row>
    <row r="131" spans="1:4" ht="13.2" hidden="1" customHeight="1" x14ac:dyDescent="0.2">
      <c r="A131" s="14" t="s">
        <v>93</v>
      </c>
      <c r="B131" s="15" t="s">
        <v>171</v>
      </c>
      <c r="C131" s="16" t="str">
        <f t="shared" si="2"/>
        <v>org_PAPERWORKSTAFF__C</v>
      </c>
      <c r="D131" s="15" t="s">
        <v>409</v>
      </c>
    </row>
    <row r="132" spans="1:4" ht="13.2" hidden="1" customHeight="1" x14ac:dyDescent="0.2">
      <c r="A132" s="14" t="s">
        <v>93</v>
      </c>
      <c r="B132" s="15" t="s">
        <v>172</v>
      </c>
      <c r="C132" s="16" t="str">
        <f t="shared" si="2"/>
        <v>org_PAPERWORKTELNO__C</v>
      </c>
      <c r="D132" s="15" t="s">
        <v>410</v>
      </c>
    </row>
    <row r="133" spans="1:4" ht="13.2" hidden="1" customHeight="1" x14ac:dyDescent="0.2">
      <c r="A133" s="14" t="s">
        <v>93</v>
      </c>
      <c r="B133" s="15" t="s">
        <v>173</v>
      </c>
      <c r="C133" s="16" t="str">
        <f t="shared" si="2"/>
        <v>org_PAPERWORKMAIL__C</v>
      </c>
      <c r="D133" s="15" t="s">
        <v>411</v>
      </c>
    </row>
    <row r="134" spans="1:4" ht="13.2" hidden="1" customHeight="1" x14ac:dyDescent="0.2">
      <c r="A134" s="14" t="s">
        <v>93</v>
      </c>
      <c r="B134" s="15" t="s">
        <v>174</v>
      </c>
      <c r="C134" s="16" t="str">
        <f t="shared" si="2"/>
        <v>org_PAPERWORKMEMO__C</v>
      </c>
      <c r="D134" s="15" t="s">
        <v>412</v>
      </c>
    </row>
    <row r="135" spans="1:4" ht="13.2" hidden="1" customHeight="1" x14ac:dyDescent="0.2">
      <c r="A135" s="14" t="s">
        <v>93</v>
      </c>
      <c r="B135" s="15" t="s">
        <v>175</v>
      </c>
      <c r="C135" s="16" t="str">
        <f t="shared" si="2"/>
        <v>org_RECRUITMENTDEPARTMENT__C</v>
      </c>
      <c r="D135" s="15" t="s">
        <v>413</v>
      </c>
    </row>
    <row r="136" spans="1:4" ht="13.2" hidden="1" customHeight="1" x14ac:dyDescent="0.2">
      <c r="A136" s="14" t="s">
        <v>93</v>
      </c>
      <c r="B136" s="15" t="s">
        <v>176</v>
      </c>
      <c r="C136" s="16" t="str">
        <f t="shared" ref="C136:C198" si="3">A136&amp;"_"&amp;B136</f>
        <v>org_RECRUITMENTPOSITION__C</v>
      </c>
      <c r="D136" s="15" t="s">
        <v>414</v>
      </c>
    </row>
    <row r="137" spans="1:4" ht="13.2" hidden="1" customHeight="1" x14ac:dyDescent="0.2">
      <c r="A137" s="14" t="s">
        <v>93</v>
      </c>
      <c r="B137" s="15" t="s">
        <v>177</v>
      </c>
      <c r="C137" s="16" t="str">
        <f t="shared" si="3"/>
        <v>org_RECRUITMENTSTAFF__C</v>
      </c>
      <c r="D137" s="15" t="s">
        <v>415</v>
      </c>
    </row>
    <row r="138" spans="1:4" ht="13.2" hidden="1" customHeight="1" x14ac:dyDescent="0.2">
      <c r="A138" s="14" t="s">
        <v>93</v>
      </c>
      <c r="B138" s="15" t="s">
        <v>178</v>
      </c>
      <c r="C138" s="16" t="str">
        <f t="shared" si="3"/>
        <v>org_RECRUITMENTTELNO__C</v>
      </c>
      <c r="D138" s="15" t="s">
        <v>416</v>
      </c>
    </row>
    <row r="139" spans="1:4" ht="13.2" hidden="1" customHeight="1" x14ac:dyDescent="0.2">
      <c r="A139" s="14" t="s">
        <v>93</v>
      </c>
      <c r="B139" s="15" t="s">
        <v>179</v>
      </c>
      <c r="C139" s="16" t="str">
        <f t="shared" si="3"/>
        <v>org_RECRUITMENTMAIL__C</v>
      </c>
      <c r="D139" s="15" t="s">
        <v>417</v>
      </c>
    </row>
    <row r="140" spans="1:4" ht="10.8" hidden="1" customHeight="1" x14ac:dyDescent="0.2">
      <c r="A140" s="14" t="s">
        <v>93</v>
      </c>
      <c r="B140" s="15" t="s">
        <v>180</v>
      </c>
      <c r="C140" s="16" t="str">
        <f t="shared" si="3"/>
        <v>org_RECRUITMENTMEMO__C</v>
      </c>
      <c r="D140" s="15" t="s">
        <v>418</v>
      </c>
    </row>
    <row r="141" spans="1:4" ht="13.2" hidden="1" customHeight="1" x14ac:dyDescent="0.2">
      <c r="A141" s="14" t="s">
        <v>93</v>
      </c>
      <c r="B141" s="15" t="s">
        <v>181</v>
      </c>
      <c r="C141" s="16" t="str">
        <f t="shared" si="3"/>
        <v>org_OWNERID</v>
      </c>
      <c r="D141" s="15" t="s">
        <v>419</v>
      </c>
    </row>
    <row r="142" spans="1:4" ht="13.2" hidden="1" customHeight="1" x14ac:dyDescent="0.2">
      <c r="A142" s="14" t="s">
        <v>93</v>
      </c>
      <c r="B142" s="15" t="s">
        <v>182</v>
      </c>
      <c r="C142" s="16" t="str">
        <f t="shared" si="3"/>
        <v>org_CREATEDBYID</v>
      </c>
      <c r="D142" s="15" t="s">
        <v>420</v>
      </c>
    </row>
    <row r="143" spans="1:4" ht="13.2" hidden="1" customHeight="1" x14ac:dyDescent="0.2">
      <c r="A143" s="14" t="s">
        <v>93</v>
      </c>
      <c r="B143" s="15" t="s">
        <v>183</v>
      </c>
      <c r="C143" s="16" t="str">
        <f t="shared" si="3"/>
        <v>org_LASTMODIFIEDBYID</v>
      </c>
      <c r="D143" s="15" t="s">
        <v>421</v>
      </c>
    </row>
    <row r="144" spans="1:4" ht="13.2" hidden="1" customHeight="1" x14ac:dyDescent="0.2">
      <c r="A144" s="14" t="s">
        <v>93</v>
      </c>
      <c r="B144" s="15" t="s">
        <v>184</v>
      </c>
      <c r="C144" s="16" t="str">
        <f t="shared" si="3"/>
        <v>org_RECORDTYPEID</v>
      </c>
      <c r="D144" s="15" t="s">
        <v>422</v>
      </c>
    </row>
    <row r="145" spans="1:4" ht="13.2" hidden="1" customHeight="1" x14ac:dyDescent="0.2">
      <c r="A145" s="14" t="s">
        <v>93</v>
      </c>
      <c r="B145" s="15" t="s">
        <v>579</v>
      </c>
      <c r="C145" s="16" t="str">
        <f t="shared" si="3"/>
        <v>org_ASSOCIATECODE__C</v>
      </c>
      <c r="D145" s="15" t="s">
        <v>337</v>
      </c>
    </row>
    <row r="146" spans="1:4" ht="13.2" hidden="1" customHeight="1" x14ac:dyDescent="0.2">
      <c r="A146" s="14" t="s">
        <v>93</v>
      </c>
      <c r="B146" s="15" t="s">
        <v>185</v>
      </c>
      <c r="C146" s="16" t="str">
        <f t="shared" si="3"/>
        <v>org_NAMEUPPERCASE__C</v>
      </c>
      <c r="D146" s="15" t="s">
        <v>423</v>
      </c>
    </row>
    <row r="147" spans="1:4" ht="13.2" hidden="1" customHeight="1" x14ac:dyDescent="0.2">
      <c r="A147" s="14" t="s">
        <v>93</v>
      </c>
      <c r="B147" s="15" t="s">
        <v>186</v>
      </c>
      <c r="C147" s="16" t="str">
        <f t="shared" si="3"/>
        <v>org_NAMEUPPERCASEWITHOUTSPACE__C</v>
      </c>
      <c r="D147" s="15" t="s">
        <v>424</v>
      </c>
    </row>
    <row r="148" spans="1:4" ht="10.8" hidden="1" customHeight="1" x14ac:dyDescent="0.2">
      <c r="A148" s="14" t="s">
        <v>95</v>
      </c>
      <c r="B148" s="15" t="s">
        <v>567</v>
      </c>
      <c r="C148" s="16" t="str">
        <f t="shared" si="3"/>
        <v>family_MIGRATIONACCOUNT_ID__C</v>
      </c>
      <c r="D148" s="15" t="s">
        <v>568</v>
      </c>
    </row>
    <row r="149" spans="1:4" hidden="1" x14ac:dyDescent="0.2">
      <c r="A149" s="14" t="s">
        <v>95</v>
      </c>
      <c r="B149" s="15" t="s">
        <v>145</v>
      </c>
      <c r="C149" s="16" t="str">
        <f t="shared" si="3"/>
        <v>family_NAME</v>
      </c>
      <c r="D149" s="15" t="s">
        <v>389</v>
      </c>
    </row>
    <row r="150" spans="1:4" ht="13.2" hidden="1" customHeight="1" x14ac:dyDescent="0.2">
      <c r="A150" s="14" t="s">
        <v>95</v>
      </c>
      <c r="B150" s="15" t="s">
        <v>181</v>
      </c>
      <c r="C150" s="16" t="str">
        <f t="shared" si="3"/>
        <v>family_OWNERID</v>
      </c>
      <c r="D150" s="15" t="s">
        <v>419</v>
      </c>
    </row>
    <row r="151" spans="1:4" ht="13.2" hidden="1" customHeight="1" x14ac:dyDescent="0.2">
      <c r="A151" s="14" t="s">
        <v>95</v>
      </c>
      <c r="B151" s="15" t="s">
        <v>187</v>
      </c>
      <c r="C151" s="16" t="str">
        <f t="shared" si="3"/>
        <v>family_CREATEDDATE</v>
      </c>
      <c r="D151" s="15" t="s">
        <v>343</v>
      </c>
    </row>
    <row r="152" spans="1:4" ht="13.2" hidden="1" customHeight="1" x14ac:dyDescent="0.2">
      <c r="A152" s="14" t="s">
        <v>95</v>
      </c>
      <c r="B152" s="15" t="s">
        <v>182</v>
      </c>
      <c r="C152" s="16" t="str">
        <f t="shared" si="3"/>
        <v>family_CREATEDBYID</v>
      </c>
      <c r="D152" s="15" t="s">
        <v>420</v>
      </c>
    </row>
    <row r="153" spans="1:4" ht="13.2" hidden="1" customHeight="1" x14ac:dyDescent="0.2">
      <c r="A153" s="14" t="s">
        <v>95</v>
      </c>
      <c r="B153" s="15" t="s">
        <v>188</v>
      </c>
      <c r="C153" s="16" t="str">
        <f t="shared" si="3"/>
        <v>family_LASTMODIFIEDDATE</v>
      </c>
      <c r="D153" s="15" t="s">
        <v>377</v>
      </c>
    </row>
    <row r="154" spans="1:4" ht="13.2" hidden="1" customHeight="1" x14ac:dyDescent="0.2">
      <c r="A154" s="14" t="s">
        <v>95</v>
      </c>
      <c r="B154" s="15" t="s">
        <v>183</v>
      </c>
      <c r="C154" s="16" t="str">
        <f t="shared" si="3"/>
        <v>family_LASTMODIFIEDBYID</v>
      </c>
      <c r="D154" s="15" t="s">
        <v>421</v>
      </c>
    </row>
    <row r="155" spans="1:4" ht="13.2" hidden="1" customHeight="1" x14ac:dyDescent="0.2">
      <c r="A155" s="14" t="s">
        <v>95</v>
      </c>
      <c r="B155" s="17" t="s">
        <v>184</v>
      </c>
      <c r="C155" s="16" t="str">
        <f t="shared" si="3"/>
        <v>family_RECORDTYPEID</v>
      </c>
      <c r="D155" s="17" t="s">
        <v>422</v>
      </c>
    </row>
    <row r="156" spans="1:4" ht="13.2" hidden="1" customHeight="1" x14ac:dyDescent="0.2">
      <c r="A156" s="14" t="s">
        <v>97</v>
      </c>
      <c r="B156" s="15" t="s">
        <v>567</v>
      </c>
      <c r="C156" s="16" t="str">
        <f t="shared" si="3"/>
        <v>NewAccount_MIGRATIONACCOUNT_ID__C</v>
      </c>
      <c r="D156" s="15" t="s">
        <v>568</v>
      </c>
    </row>
    <row r="157" spans="1:4" ht="10.8" hidden="1" customHeight="1" x14ac:dyDescent="0.2">
      <c r="A157" s="14" t="s">
        <v>97</v>
      </c>
      <c r="B157" s="15" t="s">
        <v>189</v>
      </c>
      <c r="C157" s="16" t="str">
        <f t="shared" si="3"/>
        <v>NewAccount_MIGRATIONCUSTOMER_ID__PC</v>
      </c>
      <c r="D157" s="15" t="s">
        <v>425</v>
      </c>
    </row>
    <row r="158" spans="1:4" ht="13.2" hidden="1" customHeight="1" x14ac:dyDescent="0.2">
      <c r="A158" s="14" t="s">
        <v>97</v>
      </c>
      <c r="B158" s="15" t="s">
        <v>190</v>
      </c>
      <c r="C158" s="16" t="str">
        <f t="shared" si="3"/>
        <v>NewAccount_LASTNAME</v>
      </c>
      <c r="D158" s="15" t="s">
        <v>426</v>
      </c>
    </row>
    <row r="159" spans="1:4" ht="13.2" hidden="1" customHeight="1" x14ac:dyDescent="0.2">
      <c r="A159" s="14" t="s">
        <v>97</v>
      </c>
      <c r="B159" s="15" t="s">
        <v>191</v>
      </c>
      <c r="C159" s="16" t="str">
        <f t="shared" si="3"/>
        <v>NewAccount_FIRSTNAME</v>
      </c>
      <c r="D159" s="15" t="s">
        <v>427</v>
      </c>
    </row>
    <row r="160" spans="1:4" ht="13.2" hidden="1" customHeight="1" x14ac:dyDescent="0.2">
      <c r="A160" s="14" t="s">
        <v>97</v>
      </c>
      <c r="B160" s="15" t="s">
        <v>152</v>
      </c>
      <c r="C160" s="16" t="str">
        <f t="shared" si="3"/>
        <v>NewAccount_NAMEKANA__C</v>
      </c>
      <c r="D160" s="15" t="s">
        <v>428</v>
      </c>
    </row>
    <row r="161" spans="1:4" ht="13.2" hidden="1" customHeight="1" x14ac:dyDescent="0.2">
      <c r="A161" s="14" t="s">
        <v>97</v>
      </c>
      <c r="B161" s="15" t="s">
        <v>192</v>
      </c>
      <c r="C161" s="16" t="str">
        <f t="shared" si="3"/>
        <v>NewAccount_FINSERV__GENDER__PC</v>
      </c>
      <c r="D161" s="15" t="s">
        <v>369</v>
      </c>
    </row>
    <row r="162" spans="1:4" ht="13.2" hidden="1" customHeight="1" x14ac:dyDescent="0.2">
      <c r="A162" s="14" t="s">
        <v>97</v>
      </c>
      <c r="B162" s="15" t="s">
        <v>193</v>
      </c>
      <c r="C162" s="16" t="str">
        <f t="shared" si="3"/>
        <v>NewAccount_PERSONBIRTHDATE</v>
      </c>
      <c r="D162" s="15" t="s">
        <v>429</v>
      </c>
    </row>
    <row r="163" spans="1:4" ht="13.2" hidden="1" customHeight="1" x14ac:dyDescent="0.2">
      <c r="A163" s="14" t="s">
        <v>97</v>
      </c>
      <c r="B163" s="15" t="s">
        <v>194</v>
      </c>
      <c r="C163" s="16" t="str">
        <f t="shared" si="3"/>
        <v>NewAccount_PERSONMAILINGPOSTALCODE</v>
      </c>
      <c r="D163" s="15" t="s">
        <v>430</v>
      </c>
    </row>
    <row r="164" spans="1:4" ht="13.2" hidden="1" customHeight="1" x14ac:dyDescent="0.2">
      <c r="A164" s="14" t="s">
        <v>97</v>
      </c>
      <c r="B164" s="15" t="s">
        <v>195</v>
      </c>
      <c r="C164" s="16" t="str">
        <f t="shared" si="3"/>
        <v>NewAccount_PERSONMAILINGCOUNTRY</v>
      </c>
      <c r="D164" s="15" t="s">
        <v>431</v>
      </c>
    </row>
    <row r="165" spans="1:4" ht="13.2" hidden="1" customHeight="1" x14ac:dyDescent="0.2">
      <c r="A165" s="14" t="s">
        <v>97</v>
      </c>
      <c r="B165" s="15" t="s">
        <v>196</v>
      </c>
      <c r="C165" s="16" t="str">
        <f t="shared" si="3"/>
        <v>NewAccount_PERSONMAILINGSTATE</v>
      </c>
      <c r="D165" s="15" t="s">
        <v>432</v>
      </c>
    </row>
    <row r="166" spans="1:4" ht="13.2" hidden="1" customHeight="1" x14ac:dyDescent="0.2">
      <c r="A166" s="14" t="s">
        <v>97</v>
      </c>
      <c r="B166" s="15" t="s">
        <v>197</v>
      </c>
      <c r="C166" s="16" t="str">
        <f t="shared" si="3"/>
        <v>NewAccount_PERSONMAILINGCITY</v>
      </c>
      <c r="D166" s="15" t="s">
        <v>433</v>
      </c>
    </row>
    <row r="167" spans="1:4" ht="13.2" hidden="1" customHeight="1" x14ac:dyDescent="0.2">
      <c r="A167" s="14" t="s">
        <v>97</v>
      </c>
      <c r="B167" s="15" t="s">
        <v>198</v>
      </c>
      <c r="C167" s="16" t="str">
        <f t="shared" si="3"/>
        <v>NewAccount_PERSONMAILINGSTREET</v>
      </c>
      <c r="D167" s="15" t="s">
        <v>434</v>
      </c>
    </row>
    <row r="168" spans="1:4" ht="13.2" hidden="1" customHeight="1" x14ac:dyDescent="0.2">
      <c r="A168" s="14" t="s">
        <v>97</v>
      </c>
      <c r="B168" s="15" t="s">
        <v>199</v>
      </c>
      <c r="C168" s="16" t="str">
        <f t="shared" si="3"/>
        <v>NewAccount_ADDRESSKANA__PC</v>
      </c>
      <c r="D168" s="15" t="s">
        <v>395</v>
      </c>
    </row>
    <row r="169" spans="1:4" ht="13.2" hidden="1" customHeight="1" x14ac:dyDescent="0.2">
      <c r="A169" s="14" t="s">
        <v>97</v>
      </c>
      <c r="B169" s="15" t="s">
        <v>200</v>
      </c>
      <c r="C169" s="16" t="str">
        <f t="shared" si="3"/>
        <v>NewAccount_PERSONEMAIL</v>
      </c>
      <c r="D169" s="15" t="s">
        <v>435</v>
      </c>
    </row>
    <row r="170" spans="1:4" ht="13.2" hidden="1" customHeight="1" x14ac:dyDescent="0.2">
      <c r="A170" s="14" t="s">
        <v>97</v>
      </c>
      <c r="B170" s="15" t="s">
        <v>201</v>
      </c>
      <c r="C170" s="16" t="str">
        <f t="shared" si="3"/>
        <v>NewAccount_PERSONHOMEPHONE</v>
      </c>
      <c r="D170" s="15" t="s">
        <v>436</v>
      </c>
    </row>
    <row r="171" spans="1:4" ht="13.2" hidden="1" customHeight="1" x14ac:dyDescent="0.2">
      <c r="A171" s="14" t="s">
        <v>97</v>
      </c>
      <c r="B171" s="15" t="s">
        <v>202</v>
      </c>
      <c r="C171" s="16" t="str">
        <f t="shared" si="3"/>
        <v>NewAccount_PERSONMOBILEPHONE</v>
      </c>
      <c r="D171" s="15" t="s">
        <v>437</v>
      </c>
    </row>
    <row r="172" spans="1:4" ht="10.8" hidden="1" customHeight="1" x14ac:dyDescent="0.2">
      <c r="A172" s="14" t="s">
        <v>97</v>
      </c>
      <c r="B172" s="15" t="s">
        <v>203</v>
      </c>
      <c r="C172" s="16" t="str">
        <f t="shared" si="3"/>
        <v>NewAccount_WORKPHONE__PC</v>
      </c>
      <c r="D172" s="15" t="s">
        <v>438</v>
      </c>
    </row>
    <row r="173" spans="1:4" ht="13.2" hidden="1" customHeight="1" x14ac:dyDescent="0.2">
      <c r="A173" s="14" t="s">
        <v>97</v>
      </c>
      <c r="B173" s="15" t="s">
        <v>204</v>
      </c>
      <c r="C173" s="16" t="str">
        <f t="shared" si="3"/>
        <v>NewAccount_PRIORITYPHONETYPE__C</v>
      </c>
      <c r="D173" s="15" t="s">
        <v>439</v>
      </c>
    </row>
    <row r="174" spans="1:4" ht="13.2" hidden="1" customHeight="1" x14ac:dyDescent="0.2">
      <c r="A174" s="14" t="s">
        <v>97</v>
      </c>
      <c r="B174" s="15" t="s">
        <v>181</v>
      </c>
      <c r="C174" s="16" t="str">
        <f t="shared" si="3"/>
        <v>NewAccount_OWNERID</v>
      </c>
      <c r="D174" s="15" t="s">
        <v>440</v>
      </c>
    </row>
    <row r="175" spans="1:4" ht="13.2" hidden="1" customHeight="1" x14ac:dyDescent="0.2">
      <c r="A175" s="14" t="s">
        <v>97</v>
      </c>
      <c r="B175" s="15" t="s">
        <v>205</v>
      </c>
      <c r="C175" s="16" t="str">
        <f t="shared" si="3"/>
        <v>NewAccount_INTRODUCER__C</v>
      </c>
      <c r="D175" s="15" t="s">
        <v>441</v>
      </c>
    </row>
    <row r="176" spans="1:4" ht="13.2" hidden="1" customHeight="1" x14ac:dyDescent="0.2">
      <c r="A176" s="14" t="s">
        <v>97</v>
      </c>
      <c r="B176" s="15" t="s">
        <v>206</v>
      </c>
      <c r="C176" s="16" t="str">
        <f t="shared" si="3"/>
        <v>NewAccount_PERSONALINFOUSEAGREEMENTDATE__PC</v>
      </c>
      <c r="D176" s="15" t="s">
        <v>442</v>
      </c>
    </row>
    <row r="177" spans="1:4" ht="13.2" hidden="1" customHeight="1" x14ac:dyDescent="0.2">
      <c r="A177" s="14" t="s">
        <v>97</v>
      </c>
      <c r="B177" s="15" t="s">
        <v>207</v>
      </c>
      <c r="C177" s="16" t="str">
        <f t="shared" si="3"/>
        <v>NewAccount_GROUP_REF__C</v>
      </c>
      <c r="D177" s="15" t="s">
        <v>443</v>
      </c>
    </row>
    <row r="178" spans="1:4" ht="13.2" hidden="1" customHeight="1" x14ac:dyDescent="0.2">
      <c r="A178" s="14" t="s">
        <v>97</v>
      </c>
      <c r="B178" s="15" t="s">
        <v>208</v>
      </c>
      <c r="C178" s="16" t="str">
        <f t="shared" si="3"/>
        <v>NewAccount_GROUP_SECOND_SECTION__C</v>
      </c>
      <c r="D178" s="15" t="s">
        <v>444</v>
      </c>
    </row>
    <row r="179" spans="1:4" ht="13.2" hidden="1" customHeight="1" x14ac:dyDescent="0.2">
      <c r="A179" s="14" t="s">
        <v>97</v>
      </c>
      <c r="B179" s="15" t="s">
        <v>209</v>
      </c>
      <c r="C179" s="16" t="str">
        <f t="shared" si="3"/>
        <v>NewAccount_GROUP_THIRD_SECTION__C</v>
      </c>
      <c r="D179" s="15" t="s">
        <v>445</v>
      </c>
    </row>
    <row r="180" spans="1:4" ht="13.2" hidden="1" customHeight="1" x14ac:dyDescent="0.2">
      <c r="A180" s="14" t="s">
        <v>97</v>
      </c>
      <c r="B180" s="15" t="s">
        <v>210</v>
      </c>
      <c r="C180" s="16" t="str">
        <f t="shared" si="3"/>
        <v>NewAccount_BELONGING_CODE__C</v>
      </c>
      <c r="D180" s="15" t="s">
        <v>446</v>
      </c>
    </row>
    <row r="181" spans="1:4" ht="13.2" hidden="1" customHeight="1" x14ac:dyDescent="0.2">
      <c r="A181" s="14" t="s">
        <v>97</v>
      </c>
      <c r="B181" s="15" t="s">
        <v>211</v>
      </c>
      <c r="C181" s="16" t="str">
        <f t="shared" si="3"/>
        <v>NewAccount_EMPLOYEE_CODE__C</v>
      </c>
      <c r="D181" s="15" t="s">
        <v>447</v>
      </c>
    </row>
    <row r="182" spans="1:4" ht="13.2" hidden="1" customHeight="1" x14ac:dyDescent="0.2">
      <c r="A182" s="14" t="s">
        <v>97</v>
      </c>
      <c r="B182" s="15" t="s">
        <v>212</v>
      </c>
      <c r="C182" s="16" t="str">
        <f t="shared" si="3"/>
        <v>NewAccount_PERSONTITLE</v>
      </c>
      <c r="D182" s="15" t="s">
        <v>448</v>
      </c>
    </row>
    <row r="183" spans="1:4" ht="13.2" hidden="1" customHeight="1" x14ac:dyDescent="0.2">
      <c r="A183" s="14" t="s">
        <v>97</v>
      </c>
      <c r="B183" s="15" t="s">
        <v>182</v>
      </c>
      <c r="C183" s="16" t="str">
        <f t="shared" si="3"/>
        <v>NewAccount_CREATEDBYID</v>
      </c>
      <c r="D183" s="15" t="s">
        <v>449</v>
      </c>
    </row>
    <row r="184" spans="1:4" ht="13.2" hidden="1" customHeight="1" x14ac:dyDescent="0.2">
      <c r="A184" s="14" t="s">
        <v>97</v>
      </c>
      <c r="B184" s="15" t="s">
        <v>183</v>
      </c>
      <c r="C184" s="16" t="str">
        <f t="shared" si="3"/>
        <v>NewAccount_LASTMODIFIEDBYID</v>
      </c>
      <c r="D184" s="15" t="s">
        <v>450</v>
      </c>
    </row>
    <row r="185" spans="1:4" ht="13.2" hidden="1" customHeight="1" x14ac:dyDescent="0.2">
      <c r="A185" s="14" t="s">
        <v>97</v>
      </c>
      <c r="B185" s="15" t="s">
        <v>184</v>
      </c>
      <c r="C185" s="16" t="str">
        <f t="shared" si="3"/>
        <v>NewAccount_RECORDTYPEID</v>
      </c>
      <c r="D185" s="15" t="s">
        <v>451</v>
      </c>
    </row>
    <row r="186" spans="1:4" ht="13.2" hidden="1" customHeight="1" x14ac:dyDescent="0.2">
      <c r="A186" s="14" t="s">
        <v>97</v>
      </c>
      <c r="B186" s="15" t="s">
        <v>580</v>
      </c>
      <c r="C186" s="16" t="str">
        <f t="shared" si="3"/>
        <v>NewAccount_ASSOCIATECODE__PC</v>
      </c>
      <c r="D186" s="15" t="s">
        <v>337</v>
      </c>
    </row>
    <row r="187" spans="1:4" ht="13.2" hidden="1" customHeight="1" x14ac:dyDescent="0.2">
      <c r="A187" s="14" t="s">
        <v>97</v>
      </c>
      <c r="B187" s="15" t="s">
        <v>213</v>
      </c>
      <c r="C187" s="16" t="str">
        <f t="shared" si="3"/>
        <v>NewAccount_LASTNAMEUPPERCASE__C</v>
      </c>
      <c r="D187" s="15" t="s">
        <v>452</v>
      </c>
    </row>
    <row r="188" spans="1:4" ht="13.2" hidden="1" customHeight="1" x14ac:dyDescent="0.2">
      <c r="A188" s="14" t="s">
        <v>97</v>
      </c>
      <c r="B188" s="15" t="s">
        <v>214</v>
      </c>
      <c r="C188" s="16" t="str">
        <f t="shared" si="3"/>
        <v>NewAccount_LASTNAMEUPPERCASEWITHOUTSPACE__C</v>
      </c>
      <c r="D188" s="15" t="s">
        <v>453</v>
      </c>
    </row>
    <row r="189" spans="1:4" ht="13.2" hidden="1" customHeight="1" x14ac:dyDescent="0.2">
      <c r="A189" s="14" t="s">
        <v>97</v>
      </c>
      <c r="B189" s="15" t="s">
        <v>215</v>
      </c>
      <c r="C189" s="16" t="str">
        <f t="shared" si="3"/>
        <v>NewAccount_FIRSTNAMEUPPERCASE__C</v>
      </c>
      <c r="D189" s="15" t="s">
        <v>454</v>
      </c>
    </row>
    <row r="190" spans="1:4" ht="13.2" hidden="1" customHeight="1" x14ac:dyDescent="0.2">
      <c r="A190" s="14" t="s">
        <v>97</v>
      </c>
      <c r="B190" s="15" t="s">
        <v>216</v>
      </c>
      <c r="C190" s="16" t="str">
        <f t="shared" si="3"/>
        <v>NewAccount_FIRSTNAMEUPPERCASEWITHOUTSPACE__C</v>
      </c>
      <c r="D190" s="15" t="s">
        <v>455</v>
      </c>
    </row>
    <row r="191" spans="1:4" ht="13.2" hidden="1" customHeight="1" x14ac:dyDescent="0.2">
      <c r="A191" s="14" t="s">
        <v>97</v>
      </c>
      <c r="B191" s="15" t="s">
        <v>217</v>
      </c>
      <c r="C191" s="16" t="str">
        <f t="shared" si="3"/>
        <v>NewAccount_NAMEKANAUPPERCASE__C</v>
      </c>
      <c r="D191" s="15" t="s">
        <v>456</v>
      </c>
    </row>
    <row r="192" spans="1:4" ht="13.2" hidden="1" customHeight="1" x14ac:dyDescent="0.2">
      <c r="A192" s="14" t="s">
        <v>97</v>
      </c>
      <c r="B192" s="15" t="s">
        <v>218</v>
      </c>
      <c r="C192" s="16" t="str">
        <f t="shared" si="3"/>
        <v>NewAccount_NAMEKANAUPPERCASEWITHOUTSPACE__C</v>
      </c>
      <c r="D192" s="15" t="s">
        <v>457</v>
      </c>
    </row>
    <row r="193" spans="1:4" ht="13.2" hidden="1" customHeight="1" x14ac:dyDescent="0.2">
      <c r="A193" s="14" t="s">
        <v>97</v>
      </c>
      <c r="B193" s="15" t="s">
        <v>219</v>
      </c>
      <c r="C193" s="16" t="str">
        <f t="shared" si="3"/>
        <v>NewAccount_ADDRESSTOTAL__C</v>
      </c>
      <c r="D193" s="15" t="s">
        <v>458</v>
      </c>
    </row>
    <row r="194" spans="1:4" ht="13.2" hidden="1" customHeight="1" x14ac:dyDescent="0.2">
      <c r="A194" s="14" t="s">
        <v>97</v>
      </c>
      <c r="B194" s="15" t="s">
        <v>158</v>
      </c>
      <c r="C194" s="16" t="str">
        <f t="shared" si="3"/>
        <v>NewAccount_ADDRESSKANA__C</v>
      </c>
      <c r="D194" s="15" t="s">
        <v>395</v>
      </c>
    </row>
    <row r="195" spans="1:4" hidden="1" x14ac:dyDescent="0.2">
      <c r="A195" s="14" t="s">
        <v>99</v>
      </c>
      <c r="B195" s="15" t="s">
        <v>585</v>
      </c>
      <c r="C195" s="16" t="str">
        <f t="shared" si="3"/>
        <v>AccountContactRelation_ACCOUNTID</v>
      </c>
      <c r="D195" s="15" t="s">
        <v>575</v>
      </c>
    </row>
    <row r="196" spans="1:4" ht="13.2" hidden="1" customHeight="1" x14ac:dyDescent="0.2">
      <c r="A196" s="14" t="s">
        <v>99</v>
      </c>
      <c r="B196" s="15" t="s">
        <v>220</v>
      </c>
      <c r="C196" s="16" t="str">
        <f t="shared" si="3"/>
        <v>AccountContactRelation_CONTACTID</v>
      </c>
      <c r="D196" s="15" t="s">
        <v>459</v>
      </c>
    </row>
    <row r="197" spans="1:4" ht="13.2" hidden="1" customHeight="1" x14ac:dyDescent="0.2">
      <c r="A197" s="14" t="s">
        <v>99</v>
      </c>
      <c r="B197" s="15" t="s">
        <v>221</v>
      </c>
      <c r="C197" s="16" t="str">
        <f t="shared" si="3"/>
        <v>AccountContactRelation_ROLES</v>
      </c>
      <c r="D197" s="15" t="s">
        <v>460</v>
      </c>
    </row>
    <row r="198" spans="1:4" ht="13.2" hidden="1" customHeight="1" x14ac:dyDescent="0.2">
      <c r="A198" s="14" t="s">
        <v>99</v>
      </c>
      <c r="B198" s="15" t="s">
        <v>222</v>
      </c>
      <c r="C198" s="16" t="str">
        <f t="shared" si="3"/>
        <v>AccountContactRelation_LIVINGTOGETHER__C</v>
      </c>
      <c r="D198" s="15" t="s">
        <v>461</v>
      </c>
    </row>
    <row r="199" spans="1:4" ht="13.2" hidden="1" customHeight="1" x14ac:dyDescent="0.2">
      <c r="A199" s="14" t="s">
        <v>99</v>
      </c>
      <c r="B199" s="15" t="s">
        <v>223</v>
      </c>
      <c r="C199" s="16" t="str">
        <f t="shared" ref="C199:C262" si="4">A199&amp;"_"&amp;B199</f>
        <v>AccountContactRelation_RELATIONSHIP__C</v>
      </c>
      <c r="D199" s="15" t="s">
        <v>370</v>
      </c>
    </row>
    <row r="200" spans="1:4" ht="13.2" hidden="1" customHeight="1" x14ac:dyDescent="0.2">
      <c r="A200" s="14" t="s">
        <v>99</v>
      </c>
      <c r="B200" s="15" t="s">
        <v>224</v>
      </c>
      <c r="C200" s="16" t="str">
        <f t="shared" si="4"/>
        <v>AccountContactRelation_RELATIONSHIPOTHER__C</v>
      </c>
      <c r="D200" s="15" t="s">
        <v>462</v>
      </c>
    </row>
    <row r="201" spans="1:4" ht="13.2" hidden="1" customHeight="1" x14ac:dyDescent="0.2">
      <c r="A201" s="14" t="s">
        <v>99</v>
      </c>
      <c r="B201" s="15" t="s">
        <v>225</v>
      </c>
      <c r="C201" s="16" t="str">
        <f t="shared" si="4"/>
        <v>AccountContactRelation_RELATIONSHIPMEMO__C</v>
      </c>
      <c r="D201" s="15" t="s">
        <v>463</v>
      </c>
    </row>
    <row r="202" spans="1:4" ht="13.2" hidden="1" customHeight="1" x14ac:dyDescent="0.2">
      <c r="A202" s="14" t="s">
        <v>99</v>
      </c>
      <c r="B202" s="15" t="s">
        <v>226</v>
      </c>
      <c r="C202" s="16" t="str">
        <f t="shared" si="4"/>
        <v>AccountContactRelation_MIGRATIONACCOUNTCONTACT_ID__C</v>
      </c>
      <c r="D202" s="15" t="s">
        <v>464</v>
      </c>
    </row>
    <row r="203" spans="1:4" ht="13.2" hidden="1" customHeight="1" x14ac:dyDescent="0.2">
      <c r="A203" s="14" t="s">
        <v>101</v>
      </c>
      <c r="B203" s="15" t="s">
        <v>586</v>
      </c>
      <c r="C203" s="16" t="str">
        <f t="shared" si="4"/>
        <v>ClientClassificationMaster_AGENCY__C</v>
      </c>
      <c r="D203" s="15" t="s">
        <v>576</v>
      </c>
    </row>
    <row r="204" spans="1:4" ht="13.2" hidden="1" customHeight="1" x14ac:dyDescent="0.2">
      <c r="A204" s="14" t="s">
        <v>101</v>
      </c>
      <c r="B204" s="15" t="s">
        <v>145</v>
      </c>
      <c r="C204" s="16" t="str">
        <f t="shared" si="4"/>
        <v>ClientClassificationMaster_NAME</v>
      </c>
      <c r="D204" s="15" t="s">
        <v>465</v>
      </c>
    </row>
    <row r="205" spans="1:4" ht="13.2" hidden="1" customHeight="1" x14ac:dyDescent="0.2">
      <c r="A205" s="14" t="s">
        <v>101</v>
      </c>
      <c r="B205" s="15" t="s">
        <v>227</v>
      </c>
      <c r="C205" s="16" t="str">
        <f t="shared" si="4"/>
        <v>ClientClassificationMaster_DISPLAYNAME__C</v>
      </c>
      <c r="D205" s="15" t="s">
        <v>466</v>
      </c>
    </row>
    <row r="206" spans="1:4" ht="13.2" hidden="1" customHeight="1" x14ac:dyDescent="0.2">
      <c r="A206" s="14" t="s">
        <v>101</v>
      </c>
      <c r="B206" s="15" t="s">
        <v>228</v>
      </c>
      <c r="C206" s="16" t="str">
        <f t="shared" si="4"/>
        <v>ClientClassificationMaster_BACKGROUNDCOLOR__C</v>
      </c>
      <c r="D206" s="15" t="s">
        <v>467</v>
      </c>
    </row>
    <row r="207" spans="1:4" ht="13.2" hidden="1" customHeight="1" x14ac:dyDescent="0.2">
      <c r="A207" s="14" t="s">
        <v>101</v>
      </c>
      <c r="B207" s="15" t="s">
        <v>229</v>
      </c>
      <c r="C207" s="16" t="str">
        <f t="shared" si="4"/>
        <v>ClientClassificationMaster_DISPLAYORDER__C</v>
      </c>
      <c r="D207" s="15" t="s">
        <v>468</v>
      </c>
    </row>
    <row r="208" spans="1:4" ht="13.2" hidden="1" customHeight="1" x14ac:dyDescent="0.2">
      <c r="A208" s="14" t="s">
        <v>101</v>
      </c>
      <c r="B208" s="15" t="s">
        <v>184</v>
      </c>
      <c r="C208" s="16" t="str">
        <f t="shared" si="4"/>
        <v>ClientClassificationMaster_RECORDTYPEID</v>
      </c>
      <c r="D208" s="15" t="s">
        <v>422</v>
      </c>
    </row>
    <row r="209" spans="1:4" ht="13.2" hidden="1" customHeight="1" x14ac:dyDescent="0.2">
      <c r="A209" s="14" t="s">
        <v>101</v>
      </c>
      <c r="B209" s="15" t="s">
        <v>230</v>
      </c>
      <c r="C209" s="16" t="str">
        <f t="shared" si="4"/>
        <v>ClientClassificationMaster_MIGRATIONCATEGORY_ID__C</v>
      </c>
      <c r="D209" s="15" t="s">
        <v>469</v>
      </c>
    </row>
    <row r="210" spans="1:4" ht="13.2" hidden="1" customHeight="1" x14ac:dyDescent="0.2">
      <c r="A210" s="14" t="s">
        <v>101</v>
      </c>
      <c r="B210" s="15" t="s">
        <v>182</v>
      </c>
      <c r="C210" s="16" t="str">
        <f t="shared" si="4"/>
        <v>ClientClassificationMaster_CREATEDBYID</v>
      </c>
      <c r="D210" s="15" t="s">
        <v>420</v>
      </c>
    </row>
    <row r="211" spans="1:4" ht="13.2" hidden="1" customHeight="1" x14ac:dyDescent="0.2">
      <c r="A211" s="14" t="s">
        <v>101</v>
      </c>
      <c r="B211" s="15" t="s">
        <v>183</v>
      </c>
      <c r="C211" s="16" t="str">
        <f t="shared" si="4"/>
        <v>ClientClassificationMaster_LASTMODIFIEDBYID</v>
      </c>
      <c r="D211" s="15" t="s">
        <v>421</v>
      </c>
    </row>
    <row r="212" spans="1:4" ht="13.2" hidden="1" customHeight="1" x14ac:dyDescent="0.2">
      <c r="A212" s="14" t="s">
        <v>103</v>
      </c>
      <c r="B212" s="15" t="s">
        <v>586</v>
      </c>
      <c r="C212" s="16" t="str">
        <f t="shared" si="4"/>
        <v>IncomingChannel_AGENCY__C</v>
      </c>
      <c r="D212" s="15" t="s">
        <v>576</v>
      </c>
    </row>
    <row r="213" spans="1:4" ht="13.2" hidden="1" customHeight="1" x14ac:dyDescent="0.2">
      <c r="A213" s="14" t="s">
        <v>103</v>
      </c>
      <c r="B213" s="15" t="s">
        <v>145</v>
      </c>
      <c r="C213" s="16" t="str">
        <f t="shared" si="4"/>
        <v>IncomingChannel_NAME</v>
      </c>
      <c r="D213" s="15" t="s">
        <v>470</v>
      </c>
    </row>
    <row r="214" spans="1:4" ht="13.2" hidden="1" customHeight="1" x14ac:dyDescent="0.2">
      <c r="A214" s="14" t="s">
        <v>103</v>
      </c>
      <c r="B214" s="15" t="s">
        <v>227</v>
      </c>
      <c r="C214" s="16" t="str">
        <f t="shared" si="4"/>
        <v>IncomingChannel_DISPLAYNAME__C</v>
      </c>
      <c r="D214" s="15" t="s">
        <v>466</v>
      </c>
    </row>
    <row r="215" spans="1:4" ht="13.2" hidden="1" customHeight="1" x14ac:dyDescent="0.2">
      <c r="A215" s="14" t="s">
        <v>103</v>
      </c>
      <c r="B215" s="15" t="s">
        <v>229</v>
      </c>
      <c r="C215" s="16" t="str">
        <f t="shared" si="4"/>
        <v>IncomingChannel_DISPLAYORDER__C</v>
      </c>
      <c r="D215" s="15" t="s">
        <v>468</v>
      </c>
    </row>
    <row r="216" spans="1:4" ht="13.2" hidden="1" customHeight="1" x14ac:dyDescent="0.2">
      <c r="A216" s="14" t="s">
        <v>103</v>
      </c>
      <c r="B216" s="15" t="s">
        <v>184</v>
      </c>
      <c r="C216" s="16" t="str">
        <f t="shared" si="4"/>
        <v>IncomingChannel_RECORDTYPEID</v>
      </c>
      <c r="D216" s="15" t="s">
        <v>440</v>
      </c>
    </row>
    <row r="217" spans="1:4" ht="13.2" hidden="1" customHeight="1" x14ac:dyDescent="0.2">
      <c r="A217" s="14" t="s">
        <v>103</v>
      </c>
      <c r="B217" s="15" t="s">
        <v>231</v>
      </c>
      <c r="C217" s="16" t="str">
        <f t="shared" si="4"/>
        <v>IncomingChannel_ISACTIVE__C</v>
      </c>
      <c r="D217" s="15" t="s">
        <v>471</v>
      </c>
    </row>
    <row r="218" spans="1:4" ht="13.2" hidden="1" customHeight="1" x14ac:dyDescent="0.2">
      <c r="A218" s="14" t="s">
        <v>103</v>
      </c>
      <c r="B218" s="15" t="s">
        <v>182</v>
      </c>
      <c r="C218" s="16" t="str">
        <f t="shared" si="4"/>
        <v>IncomingChannel_CREATEDBYID</v>
      </c>
      <c r="D218" s="15" t="s">
        <v>420</v>
      </c>
    </row>
    <row r="219" spans="1:4" ht="13.2" hidden="1" customHeight="1" x14ac:dyDescent="0.2">
      <c r="A219" s="14" t="s">
        <v>103</v>
      </c>
      <c r="B219" s="15" t="s">
        <v>183</v>
      </c>
      <c r="C219" s="16" t="str">
        <f t="shared" si="4"/>
        <v>IncomingChannel_LASTMODIFIEDBYID</v>
      </c>
      <c r="D219" s="15" t="s">
        <v>421</v>
      </c>
    </row>
    <row r="220" spans="1:4" ht="10.8" hidden="1" customHeight="1" x14ac:dyDescent="0.2">
      <c r="A220" s="14" t="s">
        <v>103</v>
      </c>
      <c r="B220" s="15" t="s">
        <v>232</v>
      </c>
      <c r="C220" s="16" t="str">
        <f t="shared" si="4"/>
        <v>IncomingChannel_MIGRATIONINCOMINGCHANNEL_LEADS_ID__C</v>
      </c>
      <c r="D220" s="15" t="s">
        <v>472</v>
      </c>
    </row>
    <row r="221" spans="1:4" ht="13.2" hidden="1" customHeight="1" x14ac:dyDescent="0.2">
      <c r="A221" s="14" t="s">
        <v>105</v>
      </c>
      <c r="B221" s="15" t="s">
        <v>587</v>
      </c>
      <c r="C221" s="16" t="str">
        <f t="shared" si="4"/>
        <v>CustomerNotes_PERSONACCOUNT__C</v>
      </c>
      <c r="D221" s="15" t="s">
        <v>575</v>
      </c>
    </row>
    <row r="222" spans="1:4" ht="13.2" hidden="1" customHeight="1" x14ac:dyDescent="0.2">
      <c r="A222" s="14" t="s">
        <v>105</v>
      </c>
      <c r="B222" s="15" t="s">
        <v>181</v>
      </c>
      <c r="C222" s="16" t="str">
        <f t="shared" si="4"/>
        <v>CustomerNotes_OWNERID</v>
      </c>
      <c r="D222" s="15" t="s">
        <v>419</v>
      </c>
    </row>
    <row r="223" spans="1:4" ht="13.2" hidden="1" customHeight="1" x14ac:dyDescent="0.2">
      <c r="A223" s="14" t="s">
        <v>105</v>
      </c>
      <c r="B223" s="15" t="s">
        <v>233</v>
      </c>
      <c r="C223" s="16" t="str">
        <f t="shared" si="4"/>
        <v>CustomerNotes_SALESOWNER__C</v>
      </c>
      <c r="D223" s="15" t="s">
        <v>473</v>
      </c>
    </row>
    <row r="224" spans="1:4" ht="13.2" hidden="1" customHeight="1" x14ac:dyDescent="0.2">
      <c r="A224" s="14" t="s">
        <v>105</v>
      </c>
      <c r="B224" s="15" t="s">
        <v>234</v>
      </c>
      <c r="C224" s="16" t="str">
        <f t="shared" si="4"/>
        <v>CustomerNotes_MAINOPERATOR__C</v>
      </c>
      <c r="D224" s="15" t="s">
        <v>474</v>
      </c>
    </row>
    <row r="225" spans="1:4" ht="13.2" hidden="1" customHeight="1" x14ac:dyDescent="0.2">
      <c r="A225" s="14" t="s">
        <v>105</v>
      </c>
      <c r="B225" s="15" t="s">
        <v>235</v>
      </c>
      <c r="C225" s="16" t="str">
        <f t="shared" si="4"/>
        <v>CustomerNotes_SUBOPERATOR__C</v>
      </c>
      <c r="D225" s="15" t="s">
        <v>475</v>
      </c>
    </row>
    <row r="226" spans="1:4" ht="13.2" hidden="1" customHeight="1" x14ac:dyDescent="0.2">
      <c r="A226" s="14" t="s">
        <v>105</v>
      </c>
      <c r="B226" s="15" t="s">
        <v>236</v>
      </c>
      <c r="C226" s="16" t="str">
        <f t="shared" si="4"/>
        <v>CustomerNotes_GROUPMEMO__C</v>
      </c>
      <c r="D226" s="15" t="s">
        <v>476</v>
      </c>
    </row>
    <row r="227" spans="1:4" ht="13.2" hidden="1" customHeight="1" x14ac:dyDescent="0.2">
      <c r="A227" s="14" t="s">
        <v>105</v>
      </c>
      <c r="B227" s="15" t="s">
        <v>237</v>
      </c>
      <c r="C227" s="16" t="str">
        <f t="shared" si="4"/>
        <v>CustomerNotes_COMMENT__C</v>
      </c>
      <c r="D227" s="15" t="s">
        <v>477</v>
      </c>
    </row>
    <row r="228" spans="1:4" ht="13.2" hidden="1" customHeight="1" x14ac:dyDescent="0.2">
      <c r="A228" s="14" t="s">
        <v>105</v>
      </c>
      <c r="B228" s="15" t="s">
        <v>238</v>
      </c>
      <c r="C228" s="16" t="str">
        <f t="shared" si="4"/>
        <v>CustomerNotes_VARIOUSWARNINGS__C</v>
      </c>
      <c r="D228" s="15" t="s">
        <v>478</v>
      </c>
    </row>
    <row r="229" spans="1:4" ht="13.2" hidden="1" customHeight="1" x14ac:dyDescent="0.2">
      <c r="A229" s="14" t="s">
        <v>105</v>
      </c>
      <c r="B229" s="15" t="s">
        <v>239</v>
      </c>
      <c r="C229" s="16" t="str">
        <f t="shared" si="4"/>
        <v>CustomerNotes_LIPSASREGISTRATION__C</v>
      </c>
      <c r="D229" s="15" t="s">
        <v>479</v>
      </c>
    </row>
    <row r="230" spans="1:4" ht="13.2" hidden="1" customHeight="1" x14ac:dyDescent="0.2">
      <c r="A230" s="14" t="s">
        <v>105</v>
      </c>
      <c r="B230" s="15" t="s">
        <v>182</v>
      </c>
      <c r="C230" s="16" t="str">
        <f t="shared" si="4"/>
        <v>CustomerNotes_CREATEDBYID</v>
      </c>
      <c r="D230" s="15" t="s">
        <v>449</v>
      </c>
    </row>
    <row r="231" spans="1:4" ht="13.2" hidden="1" customHeight="1" x14ac:dyDescent="0.2">
      <c r="A231" s="14" t="s">
        <v>105</v>
      </c>
      <c r="B231" s="15" t="s">
        <v>183</v>
      </c>
      <c r="C231" s="16" t="str">
        <f t="shared" si="4"/>
        <v>CustomerNotes_LASTMODIFIEDBYID</v>
      </c>
      <c r="D231" s="15" t="s">
        <v>450</v>
      </c>
    </row>
    <row r="232" spans="1:4" ht="13.2" hidden="1" customHeight="1" x14ac:dyDescent="0.2">
      <c r="A232" s="14" t="s">
        <v>105</v>
      </c>
      <c r="B232" s="15" t="s">
        <v>240</v>
      </c>
      <c r="C232" s="16" t="str">
        <f t="shared" si="4"/>
        <v>CustomerNotes_ISLATEST__C</v>
      </c>
      <c r="D232" s="15" t="s">
        <v>480</v>
      </c>
    </row>
    <row r="233" spans="1:4" ht="13.2" hidden="1" customHeight="1" x14ac:dyDescent="0.2">
      <c r="A233" s="14" t="s">
        <v>105</v>
      </c>
      <c r="B233" s="15" t="s">
        <v>241</v>
      </c>
      <c r="C233" s="16" t="str">
        <f t="shared" si="4"/>
        <v>CustomerNotes_PERSONMOBILEPHONE__C</v>
      </c>
      <c r="D233" s="15" t="s">
        <v>437</v>
      </c>
    </row>
    <row r="234" spans="1:4" ht="13.2" hidden="1" customHeight="1" x14ac:dyDescent="0.2">
      <c r="A234" s="14" t="s">
        <v>105</v>
      </c>
      <c r="B234" s="15" t="s">
        <v>242</v>
      </c>
      <c r="C234" s="16" t="str">
        <f t="shared" si="4"/>
        <v>CustomerNotes_PERSONHOMEPHONE__C</v>
      </c>
      <c r="D234" s="15" t="s">
        <v>436</v>
      </c>
    </row>
    <row r="235" spans="1:4" ht="13.2" hidden="1" customHeight="1" x14ac:dyDescent="0.2">
      <c r="A235" s="14" t="s">
        <v>105</v>
      </c>
      <c r="B235" s="15" t="s">
        <v>243</v>
      </c>
      <c r="C235" s="16" t="str">
        <f t="shared" si="4"/>
        <v>CustomerNotes_WORKPHONE__C</v>
      </c>
      <c r="D235" s="15" t="s">
        <v>438</v>
      </c>
    </row>
    <row r="236" spans="1:4" ht="13.2" hidden="1" customHeight="1" x14ac:dyDescent="0.2">
      <c r="A236" s="14" t="s">
        <v>105</v>
      </c>
      <c r="B236" s="15" t="s">
        <v>204</v>
      </c>
      <c r="C236" s="16" t="str">
        <f t="shared" si="4"/>
        <v>CustomerNotes_PRIORITYPHONETYPE__C</v>
      </c>
      <c r="D236" s="15" t="s">
        <v>439</v>
      </c>
    </row>
    <row r="237" spans="1:4" ht="13.2" hidden="1" customHeight="1" x14ac:dyDescent="0.2">
      <c r="A237" s="14" t="s">
        <v>105</v>
      </c>
      <c r="B237" s="15" t="s">
        <v>244</v>
      </c>
      <c r="C237" s="16" t="str">
        <f t="shared" si="4"/>
        <v>CustomerNotes_PERSONEMAIL__C</v>
      </c>
      <c r="D237" s="15" t="s">
        <v>435</v>
      </c>
    </row>
    <row r="238" spans="1:4" ht="13.2" hidden="1" customHeight="1" x14ac:dyDescent="0.2">
      <c r="A238" s="14" t="s">
        <v>105</v>
      </c>
      <c r="B238" s="15" t="s">
        <v>207</v>
      </c>
      <c r="C238" s="16" t="str">
        <f t="shared" si="4"/>
        <v>CustomerNotes_GROUP_REF__C</v>
      </c>
      <c r="D238" s="15" t="s">
        <v>443</v>
      </c>
    </row>
    <row r="239" spans="1:4" ht="13.2" hidden="1" customHeight="1" x14ac:dyDescent="0.2">
      <c r="A239" s="14" t="s">
        <v>105</v>
      </c>
      <c r="B239" s="15" t="s">
        <v>208</v>
      </c>
      <c r="C239" s="16" t="str">
        <f t="shared" si="4"/>
        <v>CustomerNotes_GROUP_SECOND_SECTION__C</v>
      </c>
      <c r="D239" s="15" t="s">
        <v>481</v>
      </c>
    </row>
    <row r="240" spans="1:4" ht="13.2" hidden="1" customHeight="1" x14ac:dyDescent="0.2">
      <c r="A240" s="14" t="s">
        <v>105</v>
      </c>
      <c r="B240" s="15" t="s">
        <v>209</v>
      </c>
      <c r="C240" s="16" t="str">
        <f t="shared" si="4"/>
        <v>CustomerNotes_GROUP_THIRD_SECTION__C</v>
      </c>
      <c r="D240" s="15" t="s">
        <v>482</v>
      </c>
    </row>
    <row r="241" spans="1:4" ht="13.2" hidden="1" customHeight="1" x14ac:dyDescent="0.2">
      <c r="A241" s="14" t="s">
        <v>105</v>
      </c>
      <c r="B241" s="15" t="s">
        <v>211</v>
      </c>
      <c r="C241" s="16" t="str">
        <f t="shared" si="4"/>
        <v>CustomerNotes_EMPLOYEE_CODE__C</v>
      </c>
      <c r="D241" s="15" t="s">
        <v>447</v>
      </c>
    </row>
    <row r="242" spans="1:4" ht="13.2" hidden="1" customHeight="1" x14ac:dyDescent="0.2">
      <c r="A242" s="14" t="s">
        <v>105</v>
      </c>
      <c r="B242" s="15" t="s">
        <v>210</v>
      </c>
      <c r="C242" s="16" t="str">
        <f t="shared" si="4"/>
        <v>CustomerNotes_BELONGING_CODE__C</v>
      </c>
      <c r="D242" s="15" t="s">
        <v>446</v>
      </c>
    </row>
    <row r="243" spans="1:4" ht="13.2" hidden="1" customHeight="1" x14ac:dyDescent="0.2">
      <c r="A243" s="14" t="s">
        <v>105</v>
      </c>
      <c r="B243" s="15" t="s">
        <v>245</v>
      </c>
      <c r="C243" s="16" t="str">
        <f t="shared" si="4"/>
        <v>CustomerNotes_PERSONTITLE__C</v>
      </c>
      <c r="D243" s="15" t="s">
        <v>448</v>
      </c>
    </row>
    <row r="244" spans="1:4" ht="13.2" hidden="1" customHeight="1" x14ac:dyDescent="0.2">
      <c r="A244" s="14" t="s">
        <v>105</v>
      </c>
      <c r="B244" s="15" t="s">
        <v>246</v>
      </c>
      <c r="C244" s="16" t="str">
        <f t="shared" si="4"/>
        <v>CustomerNotes_PERSONALINFOUSEAGREEMENTDATE__C</v>
      </c>
      <c r="D244" s="15" t="s">
        <v>442</v>
      </c>
    </row>
    <row r="245" spans="1:4" ht="13.2" hidden="1" customHeight="1" x14ac:dyDescent="0.2">
      <c r="A245" s="14" t="s">
        <v>105</v>
      </c>
      <c r="B245" s="15" t="s">
        <v>205</v>
      </c>
      <c r="C245" s="16" t="str">
        <f t="shared" si="4"/>
        <v>CustomerNotes_INTRODUCER__C</v>
      </c>
      <c r="D245" s="15" t="s">
        <v>441</v>
      </c>
    </row>
    <row r="246" spans="1:4" ht="10.8" hidden="1" customHeight="1" x14ac:dyDescent="0.2">
      <c r="A246" s="14" t="s">
        <v>105</v>
      </c>
      <c r="B246" s="15" t="s">
        <v>167</v>
      </c>
      <c r="C246" s="16" t="str">
        <f t="shared" si="4"/>
        <v>CustomerNotes_GROUPREGISTRATIONDATE__C</v>
      </c>
      <c r="D246" s="15" t="s">
        <v>405</v>
      </c>
    </row>
    <row r="247" spans="1:4" ht="13.2" hidden="1" customHeight="1" x14ac:dyDescent="0.2">
      <c r="A247" s="14" t="s">
        <v>105</v>
      </c>
      <c r="B247" s="15" t="s">
        <v>168</v>
      </c>
      <c r="C247" s="16" t="str">
        <f t="shared" si="4"/>
        <v>CustomerNotes_GROUPDEREGISTRATIONDATE__C</v>
      </c>
      <c r="D247" s="15" t="s">
        <v>406</v>
      </c>
    </row>
    <row r="248" spans="1:4" ht="13.2" hidden="1" customHeight="1" x14ac:dyDescent="0.2">
      <c r="A248" s="14" t="s">
        <v>105</v>
      </c>
      <c r="B248" s="15" t="s">
        <v>161</v>
      </c>
      <c r="C248" s="16" t="str">
        <f t="shared" si="4"/>
        <v>CustomerNotes_URL__C</v>
      </c>
      <c r="D248" s="15" t="s">
        <v>398</v>
      </c>
    </row>
    <row r="249" spans="1:4" ht="13.2" hidden="1" customHeight="1" x14ac:dyDescent="0.2">
      <c r="A249" s="14" t="s">
        <v>105</v>
      </c>
      <c r="B249" s="15" t="s">
        <v>247</v>
      </c>
      <c r="C249" s="16" t="str">
        <f t="shared" si="4"/>
        <v>CustomerNotes_GROUPDIVISION__C</v>
      </c>
      <c r="D249" s="15" t="s">
        <v>483</v>
      </c>
    </row>
    <row r="250" spans="1:4" ht="13.2" hidden="1" customHeight="1" x14ac:dyDescent="0.2">
      <c r="A250" s="14" t="s">
        <v>105</v>
      </c>
      <c r="B250" s="15" t="s">
        <v>170</v>
      </c>
      <c r="C250" s="16" t="str">
        <f t="shared" si="4"/>
        <v>CustomerNotes_PAPERWORKPOSITION__C</v>
      </c>
      <c r="D250" s="15" t="s">
        <v>408</v>
      </c>
    </row>
    <row r="251" spans="1:4" ht="13.2" hidden="1" customHeight="1" x14ac:dyDescent="0.2">
      <c r="A251" s="14" t="s">
        <v>105</v>
      </c>
      <c r="B251" s="15" t="s">
        <v>173</v>
      </c>
      <c r="C251" s="16" t="str">
        <f t="shared" si="4"/>
        <v>CustomerNotes_PAPERWORKMAIL__C</v>
      </c>
      <c r="D251" s="15" t="s">
        <v>411</v>
      </c>
    </row>
    <row r="252" spans="1:4" ht="13.2" hidden="1" customHeight="1" x14ac:dyDescent="0.2">
      <c r="A252" s="14" t="s">
        <v>105</v>
      </c>
      <c r="B252" s="15" t="s">
        <v>174</v>
      </c>
      <c r="C252" s="16" t="str">
        <f t="shared" si="4"/>
        <v>CustomerNotes_PAPERWORKMEMO__C</v>
      </c>
      <c r="D252" s="15" t="s">
        <v>412</v>
      </c>
    </row>
    <row r="253" spans="1:4" ht="13.2" hidden="1" customHeight="1" x14ac:dyDescent="0.2">
      <c r="A253" s="14" t="s">
        <v>105</v>
      </c>
      <c r="B253" s="15" t="s">
        <v>175</v>
      </c>
      <c r="C253" s="16" t="str">
        <f t="shared" si="4"/>
        <v>CustomerNotes_RECRUITMENTDEPARTMENT__C</v>
      </c>
      <c r="D253" s="15" t="s">
        <v>413</v>
      </c>
    </row>
    <row r="254" spans="1:4" ht="13.2" hidden="1" customHeight="1" x14ac:dyDescent="0.2">
      <c r="A254" s="14" t="s">
        <v>105</v>
      </c>
      <c r="B254" s="15" t="s">
        <v>176</v>
      </c>
      <c r="C254" s="16" t="str">
        <f t="shared" si="4"/>
        <v>CustomerNotes_RECRUITMENTPOSITION__C</v>
      </c>
      <c r="D254" s="15" t="s">
        <v>414</v>
      </c>
    </row>
    <row r="255" spans="1:4" ht="13.2" hidden="1" customHeight="1" x14ac:dyDescent="0.2">
      <c r="A255" s="14" t="s">
        <v>105</v>
      </c>
      <c r="B255" s="15" t="s">
        <v>177</v>
      </c>
      <c r="C255" s="16" t="str">
        <f t="shared" si="4"/>
        <v>CustomerNotes_RECRUITMENTSTAFF__C</v>
      </c>
      <c r="D255" s="15" t="s">
        <v>415</v>
      </c>
    </row>
    <row r="256" spans="1:4" ht="13.2" hidden="1" customHeight="1" x14ac:dyDescent="0.2">
      <c r="A256" s="14" t="s">
        <v>105</v>
      </c>
      <c r="B256" s="15" t="s">
        <v>178</v>
      </c>
      <c r="C256" s="16" t="str">
        <f t="shared" si="4"/>
        <v>CustomerNotes_RECRUITMENTTELNO__C</v>
      </c>
      <c r="D256" s="15" t="s">
        <v>416</v>
      </c>
    </row>
    <row r="257" spans="1:4" ht="13.2" hidden="1" customHeight="1" x14ac:dyDescent="0.2">
      <c r="A257" s="14" t="s">
        <v>105</v>
      </c>
      <c r="B257" s="15" t="s">
        <v>179</v>
      </c>
      <c r="C257" s="16" t="str">
        <f t="shared" si="4"/>
        <v>CustomerNotes_RECRUITMENTMAIL__C</v>
      </c>
      <c r="D257" s="15" t="s">
        <v>417</v>
      </c>
    </row>
    <row r="258" spans="1:4" ht="13.2" hidden="1" customHeight="1" x14ac:dyDescent="0.2">
      <c r="A258" s="14" t="s">
        <v>105</v>
      </c>
      <c r="B258" s="15" t="s">
        <v>180</v>
      </c>
      <c r="C258" s="16" t="str">
        <f t="shared" si="4"/>
        <v>CustomerNotes_RECRUITMENTMEMO__C</v>
      </c>
      <c r="D258" s="15" t="s">
        <v>418</v>
      </c>
    </row>
    <row r="259" spans="1:4" ht="13.2" hidden="1" customHeight="1" x14ac:dyDescent="0.2">
      <c r="A259" s="14" t="s">
        <v>105</v>
      </c>
      <c r="B259" s="15" t="s">
        <v>248</v>
      </c>
      <c r="C259" s="16" t="str">
        <f t="shared" si="4"/>
        <v>CustomerNotes_NUMBEROFEMPLOYEES__C</v>
      </c>
      <c r="D259" s="15" t="s">
        <v>401</v>
      </c>
    </row>
    <row r="260" spans="1:4" ht="13.2" hidden="1" customHeight="1" x14ac:dyDescent="0.2">
      <c r="A260" s="14" t="s">
        <v>105</v>
      </c>
      <c r="B260" s="15" t="s">
        <v>249</v>
      </c>
      <c r="C260" s="16" t="str">
        <f t="shared" si="4"/>
        <v>CustomerNotes_CONTRACTNUMBER__C</v>
      </c>
      <c r="D260" s="15" t="s">
        <v>402</v>
      </c>
    </row>
    <row r="261" spans="1:4" ht="13.2" hidden="1" customHeight="1" x14ac:dyDescent="0.2">
      <c r="A261" s="14" t="s">
        <v>105</v>
      </c>
      <c r="B261" s="15" t="s">
        <v>165</v>
      </c>
      <c r="C261" s="16" t="str">
        <f t="shared" si="4"/>
        <v>CustomerNotes_RETIREMENTAGE__C</v>
      </c>
      <c r="D261" s="15" t="s">
        <v>403</v>
      </c>
    </row>
    <row r="262" spans="1:4" ht="13.2" hidden="1" customHeight="1" x14ac:dyDescent="0.2">
      <c r="A262" s="14" t="s">
        <v>105</v>
      </c>
      <c r="B262" s="15" t="s">
        <v>250</v>
      </c>
      <c r="C262" s="16" t="str">
        <f t="shared" si="4"/>
        <v>CustomerNotes_AVAILABLEGROUPRIDERS__C</v>
      </c>
      <c r="D262" s="15" t="s">
        <v>484</v>
      </c>
    </row>
    <row r="263" spans="1:4" ht="13.2" hidden="1" customHeight="1" x14ac:dyDescent="0.2">
      <c r="A263" s="14" t="s">
        <v>105</v>
      </c>
      <c r="B263" s="15" t="s">
        <v>162</v>
      </c>
      <c r="C263" s="16" t="str">
        <f t="shared" ref="C263:C326" si="5">A263&amp;"_"&amp;B263</f>
        <v>CustomerNotes_INDUSTRY__C</v>
      </c>
      <c r="D263" s="15" t="s">
        <v>399</v>
      </c>
    </row>
    <row r="264" spans="1:4" ht="13.2" hidden="1" customHeight="1" x14ac:dyDescent="0.2">
      <c r="A264" s="14" t="s">
        <v>105</v>
      </c>
      <c r="B264" s="15" t="s">
        <v>163</v>
      </c>
      <c r="C264" s="16" t="str">
        <f t="shared" si="5"/>
        <v>CustomerNotes_BUSINESSDESCRIPTION__C</v>
      </c>
      <c r="D264" s="15" t="s">
        <v>400</v>
      </c>
    </row>
    <row r="265" spans="1:4" ht="13.2" hidden="1" customHeight="1" x14ac:dyDescent="0.2">
      <c r="A265" s="14" t="s">
        <v>105</v>
      </c>
      <c r="B265" s="15" t="s">
        <v>251</v>
      </c>
      <c r="C265" s="16" t="str">
        <f t="shared" si="5"/>
        <v>CustomerNotes_RELATINGGROUP1__C</v>
      </c>
      <c r="D265" s="15" t="s">
        <v>485</v>
      </c>
    </row>
    <row r="266" spans="1:4" ht="13.2" hidden="1" customHeight="1" x14ac:dyDescent="0.2">
      <c r="A266" s="14" t="s">
        <v>105</v>
      </c>
      <c r="B266" s="15" t="s">
        <v>252</v>
      </c>
      <c r="C266" s="16" t="str">
        <f t="shared" si="5"/>
        <v>CustomerNotes_RELATINGGROUP2__C</v>
      </c>
      <c r="D266" s="15" t="s">
        <v>486</v>
      </c>
    </row>
    <row r="267" spans="1:4" ht="13.2" hidden="1" customHeight="1" x14ac:dyDescent="0.2">
      <c r="A267" s="14" t="s">
        <v>105</v>
      </c>
      <c r="B267" s="15" t="s">
        <v>253</v>
      </c>
      <c r="C267" s="16" t="str">
        <f t="shared" si="5"/>
        <v>CustomerNotes_POSTRETIREMENTGROUP1__C</v>
      </c>
      <c r="D267" s="15" t="s">
        <v>487</v>
      </c>
    </row>
    <row r="268" spans="1:4" ht="13.2" hidden="1" customHeight="1" x14ac:dyDescent="0.2">
      <c r="A268" s="14" t="s">
        <v>105</v>
      </c>
      <c r="B268" s="15" t="s">
        <v>254</v>
      </c>
      <c r="C268" s="16" t="str">
        <f t="shared" si="5"/>
        <v>CustomerNotes_POSTRETIREMENTGROUP2__C</v>
      </c>
      <c r="D268" s="15" t="s">
        <v>488</v>
      </c>
    </row>
    <row r="269" spans="1:4" ht="13.2" hidden="1" customHeight="1" x14ac:dyDescent="0.2">
      <c r="A269" s="14" t="s">
        <v>105</v>
      </c>
      <c r="B269" s="15" t="s">
        <v>255</v>
      </c>
      <c r="C269" s="16" t="str">
        <f t="shared" si="5"/>
        <v>CustomerNotes_NEWMEMBERSHIPCONDITIONS__C</v>
      </c>
      <c r="D269" s="15" t="s">
        <v>489</v>
      </c>
    </row>
    <row r="270" spans="1:4" ht="13.2" hidden="1" customHeight="1" x14ac:dyDescent="0.2">
      <c r="A270" s="14" t="s">
        <v>105</v>
      </c>
      <c r="B270" s="15" t="s">
        <v>256</v>
      </c>
      <c r="C270" s="16" t="str">
        <f t="shared" si="5"/>
        <v>CustomerNotes_CONFIRMATIONPOINTSFORNEWMEMBERSHIP__C</v>
      </c>
      <c r="D270" s="15" t="s">
        <v>490</v>
      </c>
    </row>
    <row r="271" spans="1:4" ht="13.2" hidden="1" customHeight="1" x14ac:dyDescent="0.2">
      <c r="A271" s="14" t="s">
        <v>105</v>
      </c>
      <c r="B271" s="15" t="s">
        <v>257</v>
      </c>
      <c r="C271" s="16" t="str">
        <f t="shared" si="5"/>
        <v>CustomerNotes_CONFIRMATIONPOINTSFORGROUPMEMBERSHIP__C</v>
      </c>
      <c r="D271" s="15" t="s">
        <v>491</v>
      </c>
    </row>
    <row r="272" spans="1:4" ht="13.2" hidden="1" customHeight="1" x14ac:dyDescent="0.2">
      <c r="A272" s="14" t="s">
        <v>105</v>
      </c>
      <c r="B272" s="15" t="s">
        <v>258</v>
      </c>
      <c r="C272" s="16" t="str">
        <f t="shared" si="5"/>
        <v>CustomerNotes_CONFIRMATIONPOINTSUPONSALES__C</v>
      </c>
      <c r="D272" s="15" t="s">
        <v>492</v>
      </c>
    </row>
    <row r="273" spans="1:4" ht="13.2" hidden="1" customHeight="1" x14ac:dyDescent="0.2">
      <c r="A273" s="14" t="s">
        <v>105</v>
      </c>
      <c r="B273" s="15" t="s">
        <v>259</v>
      </c>
      <c r="C273" s="16" t="str">
        <f t="shared" si="5"/>
        <v>CustomerNotes_CLIENTCLASSIFICATION1__C</v>
      </c>
      <c r="D273" s="15" t="s">
        <v>493</v>
      </c>
    </row>
    <row r="274" spans="1:4" ht="13.2" hidden="1" customHeight="1" x14ac:dyDescent="0.2">
      <c r="A274" s="14" t="s">
        <v>105</v>
      </c>
      <c r="B274" s="15" t="s">
        <v>260</v>
      </c>
      <c r="C274" s="16" t="str">
        <f t="shared" si="5"/>
        <v>CustomerNotes_CLIENTCLASSIFICATION2__C</v>
      </c>
      <c r="D274" s="15" t="s">
        <v>494</v>
      </c>
    </row>
    <row r="275" spans="1:4" ht="13.2" hidden="1" customHeight="1" x14ac:dyDescent="0.2">
      <c r="A275" s="14" t="s">
        <v>105</v>
      </c>
      <c r="B275" s="15" t="s">
        <v>261</v>
      </c>
      <c r="C275" s="16" t="str">
        <f t="shared" si="5"/>
        <v>CustomerNotes_CLIENTCLASSIFICATION3__C</v>
      </c>
      <c r="D275" s="15" t="s">
        <v>495</v>
      </c>
    </row>
    <row r="276" spans="1:4" ht="13.2" hidden="1" customHeight="1" x14ac:dyDescent="0.2">
      <c r="A276" s="14" t="s">
        <v>105</v>
      </c>
      <c r="B276" s="15" t="s">
        <v>262</v>
      </c>
      <c r="C276" s="16" t="str">
        <f t="shared" si="5"/>
        <v>CustomerNotes_CLIENTCLASSIFICATION4__C</v>
      </c>
      <c r="D276" s="15" t="s">
        <v>496</v>
      </c>
    </row>
    <row r="277" spans="1:4" ht="13.2" hidden="1" customHeight="1" x14ac:dyDescent="0.2">
      <c r="A277" s="14" t="s">
        <v>105</v>
      </c>
      <c r="B277" s="15" t="s">
        <v>263</v>
      </c>
      <c r="C277" s="16" t="str">
        <f t="shared" si="5"/>
        <v>CustomerNotes_CLIENTCLASSIFICATION5__C</v>
      </c>
      <c r="D277" s="15" t="s">
        <v>497</v>
      </c>
    </row>
    <row r="278" spans="1:4" ht="13.2" hidden="1" customHeight="1" x14ac:dyDescent="0.2">
      <c r="A278" s="14" t="s">
        <v>105</v>
      </c>
      <c r="B278" s="15" t="s">
        <v>264</v>
      </c>
      <c r="C278" s="16" t="str">
        <f t="shared" si="5"/>
        <v>CustomerNotes_CLIENTCLASSIFICATION6__C</v>
      </c>
      <c r="D278" s="15" t="s">
        <v>498</v>
      </c>
    </row>
    <row r="279" spans="1:4" ht="13.2" hidden="1" customHeight="1" x14ac:dyDescent="0.2">
      <c r="A279" s="14" t="s">
        <v>105</v>
      </c>
      <c r="B279" s="15" t="s">
        <v>265</v>
      </c>
      <c r="C279" s="16" t="str">
        <f t="shared" si="5"/>
        <v>CustomerNotes_CLIENTCLASSIFICATION7__C</v>
      </c>
      <c r="D279" s="15" t="s">
        <v>499</v>
      </c>
    </row>
    <row r="280" spans="1:4" ht="13.2" hidden="1" customHeight="1" x14ac:dyDescent="0.2">
      <c r="A280" s="14" t="s">
        <v>105</v>
      </c>
      <c r="B280" s="15" t="s">
        <v>266</v>
      </c>
      <c r="C280" s="16" t="str">
        <f t="shared" si="5"/>
        <v>CustomerNotes_CLIENTCLASSIFICATION8__C</v>
      </c>
      <c r="D280" s="15" t="s">
        <v>500</v>
      </c>
    </row>
    <row r="281" spans="1:4" ht="13.2" hidden="1" customHeight="1" x14ac:dyDescent="0.2">
      <c r="A281" s="14" t="s">
        <v>105</v>
      </c>
      <c r="B281" s="15" t="s">
        <v>267</v>
      </c>
      <c r="C281" s="16" t="str">
        <f t="shared" si="5"/>
        <v>CustomerNotes_CLIENTCLASSIFICATION9__C</v>
      </c>
      <c r="D281" s="15" t="s">
        <v>501</v>
      </c>
    </row>
    <row r="282" spans="1:4" ht="13.2" hidden="1" customHeight="1" x14ac:dyDescent="0.2">
      <c r="A282" s="14" t="s">
        <v>105</v>
      </c>
      <c r="B282" s="15" t="s">
        <v>268</v>
      </c>
      <c r="C282" s="16" t="str">
        <f t="shared" si="5"/>
        <v>CustomerNotes_CLIENTCLASSIFICATION10__C</v>
      </c>
      <c r="D282" s="15" t="s">
        <v>502</v>
      </c>
    </row>
    <row r="283" spans="1:4" ht="13.2" hidden="1" customHeight="1" x14ac:dyDescent="0.2">
      <c r="A283" s="14" t="s">
        <v>105</v>
      </c>
      <c r="B283" s="15" t="s">
        <v>269</v>
      </c>
      <c r="C283" s="16" t="str">
        <f t="shared" si="5"/>
        <v>CustomerNotes_CLIENTCLASSIFICATION11__C</v>
      </c>
      <c r="D283" s="15" t="s">
        <v>503</v>
      </c>
    </row>
    <row r="284" spans="1:4" ht="13.2" hidden="1" customHeight="1" x14ac:dyDescent="0.2">
      <c r="A284" s="14" t="s">
        <v>105</v>
      </c>
      <c r="B284" s="15" t="s">
        <v>270</v>
      </c>
      <c r="C284" s="16" t="str">
        <f t="shared" si="5"/>
        <v>CustomerNotes_CLIENTCLASSIFICATION12__C</v>
      </c>
      <c r="D284" s="15" t="s">
        <v>504</v>
      </c>
    </row>
    <row r="285" spans="1:4" ht="13.2" hidden="1" customHeight="1" x14ac:dyDescent="0.2">
      <c r="A285" s="14" t="s">
        <v>105</v>
      </c>
      <c r="B285" s="15" t="s">
        <v>271</v>
      </c>
      <c r="C285" s="16" t="str">
        <f t="shared" si="5"/>
        <v>CustomerNotes_CLIENTCLASSIFICATION13__C</v>
      </c>
      <c r="D285" s="15" t="s">
        <v>505</v>
      </c>
    </row>
    <row r="286" spans="1:4" ht="13.2" hidden="1" customHeight="1" x14ac:dyDescent="0.2">
      <c r="A286" s="14" t="s">
        <v>105</v>
      </c>
      <c r="B286" s="15" t="s">
        <v>272</v>
      </c>
      <c r="C286" s="16" t="str">
        <f t="shared" si="5"/>
        <v>CustomerNotes_CLIENTCLASSIFICATION14__C</v>
      </c>
      <c r="D286" s="15" t="s">
        <v>506</v>
      </c>
    </row>
    <row r="287" spans="1:4" ht="13.2" hidden="1" customHeight="1" x14ac:dyDescent="0.2">
      <c r="A287" s="14" t="s">
        <v>105</v>
      </c>
      <c r="B287" s="15" t="s">
        <v>273</v>
      </c>
      <c r="C287" s="16" t="str">
        <f t="shared" si="5"/>
        <v>CustomerNotes_CLIENTCLASSIFICATION15__C</v>
      </c>
      <c r="D287" s="15" t="s">
        <v>507</v>
      </c>
    </row>
    <row r="288" spans="1:4" ht="13.2" hidden="1" customHeight="1" x14ac:dyDescent="0.2">
      <c r="A288" s="14" t="s">
        <v>105</v>
      </c>
      <c r="B288" s="15" t="s">
        <v>274</v>
      </c>
      <c r="C288" s="16" t="str">
        <f t="shared" si="5"/>
        <v>CustomerNotes_MEMO_MDM_PIC__C</v>
      </c>
      <c r="D288" s="15" t="s">
        <v>508</v>
      </c>
    </row>
    <row r="289" spans="1:4" ht="13.2" hidden="1" customHeight="1" x14ac:dyDescent="0.2">
      <c r="A289" s="14" t="s">
        <v>105</v>
      </c>
      <c r="B289" s="15" t="s">
        <v>275</v>
      </c>
      <c r="C289" s="16" t="str">
        <f t="shared" si="5"/>
        <v>CustomerNotes_MIGRATIONACCOUNT_ID__C</v>
      </c>
      <c r="D289" s="15" t="s">
        <v>509</v>
      </c>
    </row>
    <row r="290" spans="1:4" ht="13.2" hidden="1" customHeight="1" x14ac:dyDescent="0.2">
      <c r="A290" s="14" t="s">
        <v>107</v>
      </c>
      <c r="B290" s="15" t="s">
        <v>586</v>
      </c>
      <c r="C290" s="16" t="str">
        <f t="shared" si="5"/>
        <v>ContactClassMaster_AGENCY__C</v>
      </c>
      <c r="D290" s="15" t="s">
        <v>576</v>
      </c>
    </row>
    <row r="291" spans="1:4" ht="13.2" hidden="1" customHeight="1" x14ac:dyDescent="0.2">
      <c r="A291" s="14" t="s">
        <v>107</v>
      </c>
      <c r="B291" s="15" t="s">
        <v>145</v>
      </c>
      <c r="C291" s="16" t="str">
        <f t="shared" si="5"/>
        <v>ContactClassMaster_NAME</v>
      </c>
      <c r="D291" s="15" t="s">
        <v>510</v>
      </c>
    </row>
    <row r="292" spans="1:4" ht="13.2" hidden="1" customHeight="1" x14ac:dyDescent="0.2">
      <c r="A292" s="14" t="s">
        <v>107</v>
      </c>
      <c r="B292" s="15" t="s">
        <v>227</v>
      </c>
      <c r="C292" s="16" t="str">
        <f t="shared" si="5"/>
        <v>ContactClassMaster_DISPLAYNAME__C</v>
      </c>
      <c r="D292" s="15" t="s">
        <v>466</v>
      </c>
    </row>
    <row r="293" spans="1:4" ht="10.8" hidden="1" customHeight="1" x14ac:dyDescent="0.2">
      <c r="A293" s="14" t="s">
        <v>107</v>
      </c>
      <c r="B293" s="15" t="s">
        <v>228</v>
      </c>
      <c r="C293" s="16" t="str">
        <f t="shared" si="5"/>
        <v>ContactClassMaster_BACKGROUNDCOLOR__C</v>
      </c>
      <c r="D293" s="15" t="s">
        <v>467</v>
      </c>
    </row>
    <row r="294" spans="1:4" ht="13.2" hidden="1" customHeight="1" x14ac:dyDescent="0.2">
      <c r="A294" s="14" t="s">
        <v>107</v>
      </c>
      <c r="B294" s="15" t="s">
        <v>229</v>
      </c>
      <c r="C294" s="16" t="str">
        <f t="shared" si="5"/>
        <v>ContactClassMaster_DISPLAYORDER__C</v>
      </c>
      <c r="D294" s="15" t="s">
        <v>468</v>
      </c>
    </row>
    <row r="295" spans="1:4" ht="13.2" hidden="1" customHeight="1" x14ac:dyDescent="0.2">
      <c r="A295" s="14" t="s">
        <v>107</v>
      </c>
      <c r="B295" s="15" t="s">
        <v>181</v>
      </c>
      <c r="C295" s="16" t="str">
        <f t="shared" si="5"/>
        <v>ContactClassMaster_OWNERID</v>
      </c>
      <c r="D295" s="15" t="s">
        <v>440</v>
      </c>
    </row>
    <row r="296" spans="1:4" ht="13.2" hidden="1" customHeight="1" x14ac:dyDescent="0.2">
      <c r="A296" s="14" t="s">
        <v>107</v>
      </c>
      <c r="B296" s="15" t="s">
        <v>276</v>
      </c>
      <c r="C296" s="16" t="str">
        <f t="shared" si="5"/>
        <v>ContactClassMaster_MIGRATIONCONTACTCLASS_ID__C</v>
      </c>
      <c r="D296" s="15" t="s">
        <v>511</v>
      </c>
    </row>
    <row r="297" spans="1:4" ht="13.2" hidden="1" customHeight="1" x14ac:dyDescent="0.2">
      <c r="A297" s="14" t="s">
        <v>107</v>
      </c>
      <c r="B297" s="15" t="s">
        <v>182</v>
      </c>
      <c r="C297" s="16" t="str">
        <f t="shared" si="5"/>
        <v>ContactClassMaster_CREATEDBYID</v>
      </c>
      <c r="D297" s="15" t="s">
        <v>420</v>
      </c>
    </row>
    <row r="298" spans="1:4" ht="13.2" hidden="1" customHeight="1" x14ac:dyDescent="0.2">
      <c r="A298" s="14" t="s">
        <v>107</v>
      </c>
      <c r="B298" s="15" t="s">
        <v>183</v>
      </c>
      <c r="C298" s="16" t="str">
        <f t="shared" si="5"/>
        <v>ContactClassMaster_LASTMODIFIEDBYID</v>
      </c>
      <c r="D298" s="15" t="s">
        <v>421</v>
      </c>
    </row>
    <row r="299" spans="1:4" ht="13.2" hidden="1" customHeight="1" x14ac:dyDescent="0.2">
      <c r="A299" s="14" t="s">
        <v>109</v>
      </c>
      <c r="B299" s="15" t="s">
        <v>586</v>
      </c>
      <c r="C299" s="16" t="str">
        <f t="shared" si="5"/>
        <v>Texttemplate_AGENCY__C</v>
      </c>
      <c r="D299" s="15" t="s">
        <v>576</v>
      </c>
    </row>
    <row r="300" spans="1:4" ht="13.2" hidden="1" customHeight="1" x14ac:dyDescent="0.2">
      <c r="A300" s="14" t="s">
        <v>109</v>
      </c>
      <c r="B300" s="15" t="s">
        <v>145</v>
      </c>
      <c r="C300" s="16" t="str">
        <f t="shared" si="5"/>
        <v>Texttemplate_NAME</v>
      </c>
      <c r="D300" s="15" t="s">
        <v>512</v>
      </c>
    </row>
    <row r="301" spans="1:4" ht="13.2" hidden="1" customHeight="1" x14ac:dyDescent="0.2">
      <c r="A301" s="14" t="s">
        <v>109</v>
      </c>
      <c r="B301" s="15" t="s">
        <v>227</v>
      </c>
      <c r="C301" s="16" t="str">
        <f t="shared" si="5"/>
        <v>Texttemplate_DISPLAYNAME__C</v>
      </c>
      <c r="D301" s="15" t="s">
        <v>466</v>
      </c>
    </row>
    <row r="302" spans="1:4" ht="10.8" hidden="1" customHeight="1" x14ac:dyDescent="0.2">
      <c r="A302" s="14" t="s">
        <v>109</v>
      </c>
      <c r="B302" s="15" t="s">
        <v>277</v>
      </c>
      <c r="C302" s="16" t="str">
        <f t="shared" si="5"/>
        <v>Texttemplate_TEMPLATE__C</v>
      </c>
      <c r="D302" s="15" t="s">
        <v>513</v>
      </c>
    </row>
    <row r="303" spans="1:4" ht="13.2" hidden="1" customHeight="1" x14ac:dyDescent="0.2">
      <c r="A303" s="14" t="s">
        <v>109</v>
      </c>
      <c r="B303" s="15" t="s">
        <v>229</v>
      </c>
      <c r="C303" s="16" t="str">
        <f t="shared" si="5"/>
        <v>Texttemplate_DISPLAYORDER__C</v>
      </c>
      <c r="D303" s="15" t="s">
        <v>468</v>
      </c>
    </row>
    <row r="304" spans="1:4" ht="13.2" hidden="1" customHeight="1" x14ac:dyDescent="0.2">
      <c r="A304" s="14" t="s">
        <v>109</v>
      </c>
      <c r="B304" s="15" t="s">
        <v>181</v>
      </c>
      <c r="C304" s="16" t="str">
        <f t="shared" si="5"/>
        <v>Texttemplate_OWNERID</v>
      </c>
      <c r="D304" s="15" t="s">
        <v>440</v>
      </c>
    </row>
    <row r="305" spans="1:4" ht="13.2" hidden="1" customHeight="1" x14ac:dyDescent="0.2">
      <c r="A305" s="14" t="s">
        <v>109</v>
      </c>
      <c r="B305" s="15" t="s">
        <v>278</v>
      </c>
      <c r="C305" s="16" t="str">
        <f t="shared" si="5"/>
        <v>Texttemplate_MIGRATIONTEMPLATENUMBER__C</v>
      </c>
      <c r="D305" s="15" t="s">
        <v>514</v>
      </c>
    </row>
    <row r="306" spans="1:4" ht="10.8" hidden="1" customHeight="1" x14ac:dyDescent="0.2">
      <c r="A306" s="14" t="s">
        <v>109</v>
      </c>
      <c r="B306" s="15" t="s">
        <v>182</v>
      </c>
      <c r="C306" s="16" t="str">
        <f t="shared" si="5"/>
        <v>Texttemplate_CREATEDBYID</v>
      </c>
      <c r="D306" s="15" t="s">
        <v>420</v>
      </c>
    </row>
    <row r="307" spans="1:4" ht="10.8" hidden="1" customHeight="1" x14ac:dyDescent="0.2">
      <c r="A307" s="14" t="s">
        <v>109</v>
      </c>
      <c r="B307" s="15" t="s">
        <v>183</v>
      </c>
      <c r="C307" s="16" t="str">
        <f t="shared" si="5"/>
        <v>Texttemplate_LASTMODIFIEDBYID</v>
      </c>
      <c r="D307" s="15" t="s">
        <v>421</v>
      </c>
    </row>
    <row r="308" spans="1:4" ht="13.2" hidden="1" customHeight="1" x14ac:dyDescent="0.2">
      <c r="A308" s="14" t="s">
        <v>111</v>
      </c>
      <c r="B308" s="15" t="s">
        <v>588</v>
      </c>
      <c r="C308" s="16" t="str">
        <f t="shared" si="5"/>
        <v>OtherPolicy_MIGRATIONPOLICYNUMBER__C</v>
      </c>
      <c r="D308" s="15" t="s">
        <v>577</v>
      </c>
    </row>
    <row r="309" spans="1:4" ht="13.2" hidden="1" customHeight="1" x14ac:dyDescent="0.2">
      <c r="A309" s="14" t="s">
        <v>111</v>
      </c>
      <c r="B309" s="15" t="s">
        <v>279</v>
      </c>
      <c r="C309" s="16" t="str">
        <f t="shared" si="5"/>
        <v>OtherPolicy_STATUS</v>
      </c>
      <c r="D309" s="15" t="s">
        <v>515</v>
      </c>
    </row>
    <row r="310" spans="1:4" ht="13.2" hidden="1" customHeight="1" x14ac:dyDescent="0.2">
      <c r="A310" s="14" t="s">
        <v>111</v>
      </c>
      <c r="B310" s="15" t="s">
        <v>280</v>
      </c>
      <c r="C310" s="16" t="str">
        <f t="shared" si="5"/>
        <v>OtherPolicy_NEWOREXTENSIONFLAG__C</v>
      </c>
      <c r="D310" s="15" t="s">
        <v>516</v>
      </c>
    </row>
    <row r="311" spans="1:4" ht="13.2" hidden="1" customHeight="1" x14ac:dyDescent="0.2">
      <c r="A311" s="14" t="s">
        <v>111</v>
      </c>
      <c r="B311" s="15" t="s">
        <v>281</v>
      </c>
      <c r="C311" s="16" t="str">
        <f t="shared" si="5"/>
        <v>OtherPolicy_INSURANCECOMPANY__C</v>
      </c>
      <c r="D311" s="15" t="s">
        <v>517</v>
      </c>
    </row>
    <row r="312" spans="1:4" ht="13.2" hidden="1" customHeight="1" x14ac:dyDescent="0.2">
      <c r="A312" s="14" t="s">
        <v>111</v>
      </c>
      <c r="B312" s="15" t="s">
        <v>282</v>
      </c>
      <c r="C312" s="16" t="str">
        <f t="shared" si="5"/>
        <v>OtherPolicy_OTHERINSURANCECOMPANY__C</v>
      </c>
      <c r="D312" s="15" t="s">
        <v>518</v>
      </c>
    </row>
    <row r="313" spans="1:4" ht="13.2" hidden="1" customHeight="1" x14ac:dyDescent="0.2">
      <c r="A313" s="14" t="s">
        <v>111</v>
      </c>
      <c r="B313" s="15" t="s">
        <v>283</v>
      </c>
      <c r="C313" s="16" t="str">
        <f t="shared" si="5"/>
        <v>OtherPolicy_ACCOUNTID__C</v>
      </c>
      <c r="D313" s="15" t="s">
        <v>519</v>
      </c>
    </row>
    <row r="314" spans="1:4" ht="13.2" hidden="1" customHeight="1" x14ac:dyDescent="0.2">
      <c r="A314" s="14" t="s">
        <v>111</v>
      </c>
      <c r="B314" s="15" t="s">
        <v>284</v>
      </c>
      <c r="C314" s="16" t="str">
        <f t="shared" si="5"/>
        <v>OtherPolicy_CONTRACTDATE__C</v>
      </c>
      <c r="D314" s="15" t="s">
        <v>520</v>
      </c>
    </row>
    <row r="315" spans="1:4" ht="13.2" hidden="1" customHeight="1" x14ac:dyDescent="0.2">
      <c r="A315" s="14" t="s">
        <v>111</v>
      </c>
      <c r="B315" s="15" t="s">
        <v>285</v>
      </c>
      <c r="C315" s="16" t="str">
        <f t="shared" si="5"/>
        <v>OtherPolicy_APPLICATIONDATE__C</v>
      </c>
      <c r="D315" s="15" t="s">
        <v>521</v>
      </c>
    </row>
    <row r="316" spans="1:4" ht="13.2" hidden="1" customHeight="1" x14ac:dyDescent="0.2">
      <c r="A316" s="14" t="s">
        <v>111</v>
      </c>
      <c r="B316" s="15" t="s">
        <v>151</v>
      </c>
      <c r="C316" s="16" t="str">
        <f t="shared" si="5"/>
        <v>OtherPolicy_GROUPCODE__C</v>
      </c>
      <c r="D316" s="15" t="s">
        <v>343</v>
      </c>
    </row>
    <row r="317" spans="1:4" ht="10.8" hidden="1" customHeight="1" x14ac:dyDescent="0.2">
      <c r="A317" s="14" t="s">
        <v>111</v>
      </c>
      <c r="B317" s="15" t="s">
        <v>286</v>
      </c>
      <c r="C317" s="16" t="str">
        <f t="shared" si="5"/>
        <v>OtherPolicy_GROUPNAME__C</v>
      </c>
      <c r="D317" s="15" t="s">
        <v>344</v>
      </c>
    </row>
    <row r="318" spans="1:4" ht="13.2" hidden="1" customHeight="1" x14ac:dyDescent="0.2">
      <c r="A318" s="14" t="s">
        <v>111</v>
      </c>
      <c r="B318" s="15" t="s">
        <v>287</v>
      </c>
      <c r="C318" s="16" t="str">
        <f t="shared" si="5"/>
        <v>OtherPolicy_POLICYNAME</v>
      </c>
      <c r="D318" s="15" t="s">
        <v>522</v>
      </c>
    </row>
    <row r="319" spans="1:4" ht="13.2" hidden="1" customHeight="1" x14ac:dyDescent="0.2">
      <c r="A319" s="14" t="s">
        <v>111</v>
      </c>
      <c r="B319" s="15" t="s">
        <v>145</v>
      </c>
      <c r="C319" s="16" t="str">
        <f t="shared" si="5"/>
        <v>OtherPolicy_NAME</v>
      </c>
      <c r="D319" s="15" t="s">
        <v>364</v>
      </c>
    </row>
    <row r="320" spans="1:4" ht="13.2" hidden="1" customHeight="1" x14ac:dyDescent="0.2">
      <c r="A320" s="14" t="s">
        <v>111</v>
      </c>
      <c r="B320" s="15" t="s">
        <v>288</v>
      </c>
      <c r="C320" s="16" t="str">
        <f t="shared" si="5"/>
        <v>OtherPolicy_INSURANCETYPE__C</v>
      </c>
      <c r="D320" s="15" t="s">
        <v>523</v>
      </c>
    </row>
    <row r="321" spans="1:4" ht="13.2" hidden="1" customHeight="1" x14ac:dyDescent="0.2">
      <c r="A321" s="14" t="s">
        <v>111</v>
      </c>
      <c r="B321" s="15" t="s">
        <v>289</v>
      </c>
      <c r="C321" s="16" t="str">
        <f t="shared" si="5"/>
        <v>OtherPolicy_POLICYTYPENOTES__C</v>
      </c>
      <c r="D321" s="15" t="s">
        <v>524</v>
      </c>
    </row>
    <row r="322" spans="1:4" ht="13.2" hidden="1" customHeight="1" x14ac:dyDescent="0.2">
      <c r="A322" s="14" t="s">
        <v>111</v>
      </c>
      <c r="B322" s="15" t="s">
        <v>290</v>
      </c>
      <c r="C322" s="16" t="str">
        <f t="shared" si="5"/>
        <v>OtherPolicy_POLICYCHANGEREASON__C</v>
      </c>
      <c r="D322" s="15" t="s">
        <v>525</v>
      </c>
    </row>
    <row r="323" spans="1:4" ht="13.2" hidden="1" customHeight="1" x14ac:dyDescent="0.2">
      <c r="A323" s="14" t="s">
        <v>111</v>
      </c>
      <c r="B323" s="15" t="s">
        <v>291</v>
      </c>
      <c r="C323" s="16" t="str">
        <f t="shared" si="5"/>
        <v>OtherPolicy_POLICYCHANGEORCANCELLATIONDATE__C</v>
      </c>
      <c r="D323" s="15" t="s">
        <v>526</v>
      </c>
    </row>
    <row r="324" spans="1:4" ht="13.2" hidden="1" customHeight="1" x14ac:dyDescent="0.2">
      <c r="A324" s="14" t="s">
        <v>111</v>
      </c>
      <c r="B324" s="15" t="s">
        <v>292</v>
      </c>
      <c r="C324" s="16" t="str">
        <f t="shared" si="5"/>
        <v>OtherPolicy_NAMEINSUREDID</v>
      </c>
      <c r="D324" s="15" t="s">
        <v>527</v>
      </c>
    </row>
    <row r="325" spans="1:4" ht="13.2" hidden="1" customHeight="1" x14ac:dyDescent="0.2">
      <c r="A325" s="14" t="s">
        <v>111</v>
      </c>
      <c r="B325" s="15" t="s">
        <v>293</v>
      </c>
      <c r="C325" s="16" t="str">
        <f t="shared" si="5"/>
        <v>OtherPolicy_PREMIUMAMOUNT</v>
      </c>
      <c r="D325" s="15" t="s">
        <v>528</v>
      </c>
    </row>
    <row r="326" spans="1:4" ht="13.2" hidden="1" customHeight="1" x14ac:dyDescent="0.2">
      <c r="A326" s="14" t="s">
        <v>111</v>
      </c>
      <c r="B326" s="15" t="s">
        <v>294</v>
      </c>
      <c r="C326" s="16" t="str">
        <f t="shared" si="5"/>
        <v>OtherPolicy_POLICYTYPE__C</v>
      </c>
      <c r="D326" s="15" t="s">
        <v>529</v>
      </c>
    </row>
    <row r="327" spans="1:4" ht="13.2" hidden="1" customHeight="1" x14ac:dyDescent="0.2">
      <c r="A327" s="14" t="s">
        <v>111</v>
      </c>
      <c r="B327" s="15" t="s">
        <v>295</v>
      </c>
      <c r="C327" s="16" t="str">
        <f t="shared" ref="C327:C366" si="6">A327&amp;"_"&amp;B327</f>
        <v>OtherPolicy_PREMIUMFREQUENCY</v>
      </c>
      <c r="D327" s="15" t="s">
        <v>530</v>
      </c>
    </row>
    <row r="328" spans="1:4" ht="13.2" hidden="1" customHeight="1" x14ac:dyDescent="0.2">
      <c r="A328" s="14" t="s">
        <v>111</v>
      </c>
      <c r="B328" s="15" t="s">
        <v>296</v>
      </c>
      <c r="C328" s="16" t="str">
        <f t="shared" si="6"/>
        <v>OtherPolicy_EXPIRATIONDATE</v>
      </c>
      <c r="D328" s="15" t="s">
        <v>531</v>
      </c>
    </row>
    <row r="329" spans="1:4" ht="13.2" hidden="1" customHeight="1" x14ac:dyDescent="0.2">
      <c r="A329" s="14" t="s">
        <v>111</v>
      </c>
      <c r="B329" s="15" t="s">
        <v>297</v>
      </c>
      <c r="C329" s="16" t="str">
        <f t="shared" si="6"/>
        <v>OtherPolicy_AGENCYSHOPCODE__C</v>
      </c>
      <c r="D329" s="15" t="s">
        <v>532</v>
      </c>
    </row>
    <row r="330" spans="1:4" ht="10.8" hidden="1" customHeight="1" x14ac:dyDescent="0.2">
      <c r="A330" s="14" t="s">
        <v>111</v>
      </c>
      <c r="B330" s="15" t="s">
        <v>298</v>
      </c>
      <c r="C330" s="16" t="str">
        <f t="shared" si="6"/>
        <v>OtherPolicy_DEPARTMENTCODE__C</v>
      </c>
      <c r="D330" s="15" t="s">
        <v>446</v>
      </c>
    </row>
    <row r="331" spans="1:4" ht="13.2" hidden="1" customHeight="1" x14ac:dyDescent="0.2">
      <c r="A331" s="14" t="s">
        <v>111</v>
      </c>
      <c r="B331" s="15" t="s">
        <v>299</v>
      </c>
      <c r="C331" s="16" t="str">
        <f t="shared" si="6"/>
        <v>OtherPolicy_EMPLOYEECODE__C</v>
      </c>
      <c r="D331" s="15" t="s">
        <v>447</v>
      </c>
    </row>
    <row r="332" spans="1:4" ht="13.2" hidden="1" customHeight="1" x14ac:dyDescent="0.2">
      <c r="A332" s="14" t="s">
        <v>111</v>
      </c>
      <c r="B332" s="15" t="s">
        <v>300</v>
      </c>
      <c r="C332" s="16" t="str">
        <f t="shared" si="6"/>
        <v>OtherPolicy_NOTES__C</v>
      </c>
      <c r="D332" s="15" t="s">
        <v>371</v>
      </c>
    </row>
    <row r="333" spans="1:4" ht="13.2" hidden="1" customHeight="1" x14ac:dyDescent="0.2">
      <c r="A333" s="14" t="s">
        <v>111</v>
      </c>
      <c r="B333" s="15" t="s">
        <v>181</v>
      </c>
      <c r="C333" s="16" t="str">
        <f t="shared" si="6"/>
        <v>OtherPolicy_OWNERID</v>
      </c>
      <c r="D333" s="15" t="s">
        <v>533</v>
      </c>
    </row>
    <row r="334" spans="1:4" ht="13.2" hidden="1" customHeight="1" x14ac:dyDescent="0.2">
      <c r="A334" s="14" t="s">
        <v>111</v>
      </c>
      <c r="B334" s="15" t="s">
        <v>184</v>
      </c>
      <c r="C334" s="16" t="str">
        <f t="shared" si="6"/>
        <v>OtherPolicy_RECORDTYPEID</v>
      </c>
      <c r="D334" s="15" t="s">
        <v>422</v>
      </c>
    </row>
    <row r="335" spans="1:4" ht="13.2" hidden="1" customHeight="1" x14ac:dyDescent="0.2">
      <c r="A335" s="14" t="s">
        <v>111</v>
      </c>
      <c r="B335" s="15" t="s">
        <v>301</v>
      </c>
      <c r="C335" s="16" t="str">
        <f t="shared" si="6"/>
        <v>OtherPolicy_KANANAME__C</v>
      </c>
      <c r="D335" s="15" t="s">
        <v>534</v>
      </c>
    </row>
    <row r="336" spans="1:4" ht="13.2" hidden="1" customHeight="1" x14ac:dyDescent="0.2">
      <c r="A336" s="14" t="s">
        <v>111</v>
      </c>
      <c r="B336" s="15" t="s">
        <v>302</v>
      </c>
      <c r="C336" s="16" t="str">
        <f t="shared" si="6"/>
        <v>OtherPolicy_KANJINAME__C</v>
      </c>
      <c r="D336" s="15" t="s">
        <v>535</v>
      </c>
    </row>
    <row r="337" spans="1:4" ht="13.2" hidden="1" customHeight="1" x14ac:dyDescent="0.2">
      <c r="A337" s="14" t="s">
        <v>111</v>
      </c>
      <c r="B337" s="15" t="s">
        <v>303</v>
      </c>
      <c r="C337" s="16" t="str">
        <f t="shared" si="6"/>
        <v>OtherPolicy_SEX__C</v>
      </c>
      <c r="D337" s="15" t="s">
        <v>536</v>
      </c>
    </row>
    <row r="338" spans="1:4" ht="13.2" hidden="1" customHeight="1" x14ac:dyDescent="0.2">
      <c r="A338" s="14" t="s">
        <v>111</v>
      </c>
      <c r="B338" s="15" t="s">
        <v>304</v>
      </c>
      <c r="C338" s="16" t="str">
        <f t="shared" si="6"/>
        <v>OtherPolicy_BIRTHDATE__C</v>
      </c>
      <c r="D338" s="15" t="s">
        <v>537</v>
      </c>
    </row>
    <row r="339" spans="1:4" ht="13.2" hidden="1" customHeight="1" x14ac:dyDescent="0.2">
      <c r="A339" s="14" t="s">
        <v>111</v>
      </c>
      <c r="B339" s="15" t="s">
        <v>305</v>
      </c>
      <c r="C339" s="16" t="str">
        <f t="shared" si="6"/>
        <v>OtherPolicy_POLICYNUMBER__C</v>
      </c>
      <c r="D339" s="15" t="s">
        <v>538</v>
      </c>
    </row>
    <row r="340" spans="1:4" ht="13.2" hidden="1" customHeight="1" x14ac:dyDescent="0.2">
      <c r="A340" s="14" t="s">
        <v>111</v>
      </c>
      <c r="B340" s="15" t="s">
        <v>579</v>
      </c>
      <c r="C340" s="16" t="str">
        <f t="shared" si="6"/>
        <v>OtherPolicy_ASSOCIATECODE__C</v>
      </c>
      <c r="D340" s="15" t="s">
        <v>337</v>
      </c>
    </row>
    <row r="341" spans="1:4" ht="13.2" hidden="1" customHeight="1" x14ac:dyDescent="0.2">
      <c r="A341" s="14" t="s">
        <v>111</v>
      </c>
      <c r="B341" s="15" t="s">
        <v>306</v>
      </c>
      <c r="C341" s="16" t="str">
        <f t="shared" si="6"/>
        <v>OtherPolicy_KANANAMEUPPERCASE__C</v>
      </c>
      <c r="D341" s="15" t="s">
        <v>539</v>
      </c>
    </row>
    <row r="342" spans="1:4" ht="13.2" hidden="1" customHeight="1" x14ac:dyDescent="0.2">
      <c r="A342" s="14" t="s">
        <v>111</v>
      </c>
      <c r="B342" s="15" t="s">
        <v>307</v>
      </c>
      <c r="C342" s="16" t="str">
        <f t="shared" si="6"/>
        <v>OtherPolicy_KANANAMEUPPERCASEWITHOUTSPACE__C</v>
      </c>
      <c r="D342" s="15" t="s">
        <v>540</v>
      </c>
    </row>
    <row r="343" spans="1:4" ht="13.2" hidden="1" customHeight="1" x14ac:dyDescent="0.2">
      <c r="A343" s="14" t="s">
        <v>111</v>
      </c>
      <c r="B343" s="15" t="s">
        <v>308</v>
      </c>
      <c r="C343" s="16" t="str">
        <f t="shared" si="6"/>
        <v>OtherPolicy_KANJINAMEUPPERCASE__C</v>
      </c>
      <c r="D343" s="15" t="s">
        <v>541</v>
      </c>
    </row>
    <row r="344" spans="1:4" ht="10.8" hidden="1" customHeight="1" x14ac:dyDescent="0.2">
      <c r="A344" s="14" t="s">
        <v>111</v>
      </c>
      <c r="B344" s="15" t="s">
        <v>309</v>
      </c>
      <c r="C344" s="16" t="str">
        <f t="shared" si="6"/>
        <v>OtherPolicy_KANJINAMEUPPERCASEWITHOUTSPACE__C</v>
      </c>
      <c r="D344" s="15" t="s">
        <v>542</v>
      </c>
    </row>
    <row r="345" spans="1:4" ht="10.8" hidden="1" customHeight="1" x14ac:dyDescent="0.2">
      <c r="A345" s="14" t="s">
        <v>111</v>
      </c>
      <c r="B345" s="15" t="s">
        <v>310</v>
      </c>
      <c r="C345" s="16" t="str">
        <f t="shared" si="6"/>
        <v>OtherPolicy_INSUREDNAMEREFERENCE__C</v>
      </c>
      <c r="D345" s="15" t="s">
        <v>543</v>
      </c>
    </row>
    <row r="346" spans="1:4" ht="10.8" hidden="1" customHeight="1" x14ac:dyDescent="0.2">
      <c r="A346" s="14" t="s">
        <v>113</v>
      </c>
      <c r="B346" s="15" t="s">
        <v>589</v>
      </c>
      <c r="C346" s="16" t="str">
        <f t="shared" si="6"/>
        <v>Event_FINSERV__HOUSEHOLD__C</v>
      </c>
      <c r="D346" s="15" t="s">
        <v>578</v>
      </c>
    </row>
    <row r="347" spans="1:4" hidden="1" x14ac:dyDescent="0.2">
      <c r="A347" s="14" t="s">
        <v>113</v>
      </c>
      <c r="B347" s="15" t="s">
        <v>311</v>
      </c>
      <c r="C347" s="16" t="str">
        <f t="shared" si="6"/>
        <v>Event_MEANS__C</v>
      </c>
      <c r="D347" s="15" t="s">
        <v>544</v>
      </c>
    </row>
    <row r="348" spans="1:4" ht="13.2" hidden="1" customHeight="1" x14ac:dyDescent="0.2">
      <c r="A348" s="14" t="s">
        <v>113</v>
      </c>
      <c r="B348" s="15" t="s">
        <v>312</v>
      </c>
      <c r="C348" s="16" t="str">
        <f t="shared" si="6"/>
        <v>Event_SUBJECT</v>
      </c>
      <c r="D348" s="15" t="s">
        <v>545</v>
      </c>
    </row>
    <row r="349" spans="1:4" ht="13.2" hidden="1" customHeight="1" x14ac:dyDescent="0.2">
      <c r="A349" s="14" t="s">
        <v>113</v>
      </c>
      <c r="B349" s="15" t="s">
        <v>313</v>
      </c>
      <c r="C349" s="16" t="str">
        <f t="shared" si="6"/>
        <v>Event_LOCATION</v>
      </c>
      <c r="D349" s="15" t="s">
        <v>546</v>
      </c>
    </row>
    <row r="350" spans="1:4" ht="10.8" hidden="1" customHeight="1" x14ac:dyDescent="0.2">
      <c r="A350" s="14" t="s">
        <v>113</v>
      </c>
      <c r="B350" s="15" t="s">
        <v>314</v>
      </c>
      <c r="C350" s="16" t="str">
        <f t="shared" si="6"/>
        <v>Event_STARTDATETIME</v>
      </c>
      <c r="D350" s="15" t="s">
        <v>547</v>
      </c>
    </row>
    <row r="351" spans="1:4" ht="13.2" hidden="1" customHeight="1" x14ac:dyDescent="0.2">
      <c r="A351" s="14" t="s">
        <v>113</v>
      </c>
      <c r="B351" s="15" t="s">
        <v>315</v>
      </c>
      <c r="C351" s="16" t="str">
        <f t="shared" si="6"/>
        <v>Event_ENDDATETIME</v>
      </c>
      <c r="D351" s="15" t="s">
        <v>547</v>
      </c>
    </row>
    <row r="352" spans="1:4" ht="13.2" hidden="1" customHeight="1" x14ac:dyDescent="0.2">
      <c r="A352" s="14" t="s">
        <v>113</v>
      </c>
      <c r="B352" s="15" t="s">
        <v>181</v>
      </c>
      <c r="C352" s="16" t="str">
        <f t="shared" si="6"/>
        <v>Event_OWNERID</v>
      </c>
      <c r="D352" s="15" t="s">
        <v>440</v>
      </c>
    </row>
    <row r="353" spans="1:4" ht="13.2" hidden="1" customHeight="1" x14ac:dyDescent="0.2">
      <c r="A353" s="14" t="s">
        <v>113</v>
      </c>
      <c r="B353" s="15" t="s">
        <v>316</v>
      </c>
      <c r="C353" s="16" t="str">
        <f t="shared" si="6"/>
        <v>Event_AGENCYBRANCH__C</v>
      </c>
      <c r="D353" s="15" t="s">
        <v>548</v>
      </c>
    </row>
    <row r="354" spans="1:4" ht="13.2" hidden="1" customHeight="1" x14ac:dyDescent="0.2">
      <c r="A354" s="14" t="s">
        <v>113</v>
      </c>
      <c r="B354" s="15" t="s">
        <v>317</v>
      </c>
      <c r="C354" s="16" t="str">
        <f t="shared" si="6"/>
        <v>Event_DEPARTMENT__C</v>
      </c>
      <c r="D354" s="15" t="s">
        <v>549</v>
      </c>
    </row>
    <row r="355" spans="1:4" ht="13.2" hidden="1" customHeight="1" x14ac:dyDescent="0.2">
      <c r="A355" s="14" t="s">
        <v>113</v>
      </c>
      <c r="B355" s="15" t="s">
        <v>318</v>
      </c>
      <c r="C355" s="16" t="str">
        <f t="shared" si="6"/>
        <v>Event_DESCRIPTION</v>
      </c>
      <c r="D355" s="15" t="s">
        <v>550</v>
      </c>
    </row>
    <row r="356" spans="1:4" ht="13.2" hidden="1" customHeight="1" x14ac:dyDescent="0.2">
      <c r="A356" s="14" t="s">
        <v>113</v>
      </c>
      <c r="B356" s="15" t="s">
        <v>319</v>
      </c>
      <c r="C356" s="16" t="str">
        <f t="shared" si="6"/>
        <v>Event_EVENTCOMPLETED__C</v>
      </c>
      <c r="D356" s="15" t="s">
        <v>551</v>
      </c>
    </row>
    <row r="357" spans="1:4" ht="13.2" hidden="1" customHeight="1" x14ac:dyDescent="0.2">
      <c r="A357" s="14" t="s">
        <v>113</v>
      </c>
      <c r="B357" s="15" t="s">
        <v>320</v>
      </c>
      <c r="C357" s="16" t="str">
        <f t="shared" si="6"/>
        <v>Event_MANAGERCOMMENT__C</v>
      </c>
      <c r="D357" s="15" t="s">
        <v>552</v>
      </c>
    </row>
    <row r="358" spans="1:4" ht="13.2" hidden="1" customHeight="1" x14ac:dyDescent="0.2">
      <c r="A358" s="14" t="s">
        <v>113</v>
      </c>
      <c r="B358" s="15" t="s">
        <v>184</v>
      </c>
      <c r="C358" s="16" t="str">
        <f t="shared" si="6"/>
        <v>Event_RECORDTYPEID</v>
      </c>
      <c r="D358" s="15" t="s">
        <v>553</v>
      </c>
    </row>
    <row r="359" spans="1:4" ht="13.2" hidden="1" customHeight="1" x14ac:dyDescent="0.2">
      <c r="A359" s="14" t="s">
        <v>113</v>
      </c>
      <c r="B359" s="15" t="s">
        <v>182</v>
      </c>
      <c r="C359" s="16" t="str">
        <f t="shared" si="6"/>
        <v>Event_CREATEDBYID</v>
      </c>
      <c r="D359" s="15" t="s">
        <v>449</v>
      </c>
    </row>
    <row r="360" spans="1:4" ht="13.2" hidden="1" customHeight="1" x14ac:dyDescent="0.2">
      <c r="A360" s="14" t="s">
        <v>113</v>
      </c>
      <c r="B360" s="15" t="s">
        <v>183</v>
      </c>
      <c r="C360" s="16" t="str">
        <f t="shared" si="6"/>
        <v>Event_LASTMODIFIEDBYID</v>
      </c>
      <c r="D360" s="15" t="s">
        <v>450</v>
      </c>
    </row>
    <row r="361" spans="1:4" ht="13.2" hidden="1" customHeight="1" x14ac:dyDescent="0.2">
      <c r="A361" s="14" t="s">
        <v>113</v>
      </c>
      <c r="B361" s="15" t="s">
        <v>321</v>
      </c>
      <c r="C361" s="16" t="str">
        <f t="shared" si="6"/>
        <v>Event_REQUIRED__C</v>
      </c>
      <c r="D361" s="15" t="s">
        <v>554</v>
      </c>
    </row>
    <row r="362" spans="1:4" ht="10.8" hidden="1" customHeight="1" x14ac:dyDescent="0.2">
      <c r="A362" s="14" t="s">
        <v>113</v>
      </c>
      <c r="B362" s="15" t="s">
        <v>322</v>
      </c>
      <c r="C362" s="16" t="str">
        <f t="shared" si="6"/>
        <v>Event_CONTACTPERSON__C</v>
      </c>
      <c r="D362" s="15" t="s">
        <v>555</v>
      </c>
    </row>
    <row r="363" spans="1:4" ht="13.2" hidden="1" customHeight="1" x14ac:dyDescent="0.2">
      <c r="A363" s="14" t="s">
        <v>113</v>
      </c>
      <c r="B363" s="15" t="s">
        <v>323</v>
      </c>
      <c r="C363" s="16" t="str">
        <f t="shared" si="6"/>
        <v>Event_CONTACTCLASSNAME__C</v>
      </c>
      <c r="D363" s="15" t="s">
        <v>556</v>
      </c>
    </row>
    <row r="364" spans="1:4" ht="13.2" hidden="1" customHeight="1" x14ac:dyDescent="0.2">
      <c r="A364" s="14" t="s">
        <v>113</v>
      </c>
      <c r="B364" s="15" t="s">
        <v>324</v>
      </c>
      <c r="C364" s="16" t="str">
        <f t="shared" si="6"/>
        <v>Event_WHATID</v>
      </c>
      <c r="D364" s="15" t="s">
        <v>557</v>
      </c>
    </row>
    <row r="365" spans="1:4" ht="10.8" hidden="1" customHeight="1" x14ac:dyDescent="0.2">
      <c r="A365" s="14" t="s">
        <v>113</v>
      </c>
      <c r="B365" s="15" t="s">
        <v>325</v>
      </c>
      <c r="C365" s="16" t="str">
        <f t="shared" si="6"/>
        <v>Event_MIGRATIONCONTACTNUMBER__C</v>
      </c>
      <c r="D365" s="15" t="s">
        <v>558</v>
      </c>
    </row>
    <row r="366" spans="1:4" ht="10.8" hidden="1" customHeight="1" x14ac:dyDescent="0.2">
      <c r="A366" s="14" t="s">
        <v>113</v>
      </c>
      <c r="B366" s="15" t="s">
        <v>326</v>
      </c>
      <c r="C366" s="16" t="str">
        <f t="shared" si="6"/>
        <v>Event_CONTACTCLASSMASTERID__C</v>
      </c>
      <c r="D366" s="15" t="s">
        <v>559</v>
      </c>
    </row>
  </sheetData>
  <autoFilter ref="A4:E366" xr:uid="{00000000-0001-0000-0200-000000000000}">
    <filterColumn colId="0">
      <filters>
        <filter val="hankan1"/>
      </filters>
    </filterColumn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B1:L79"/>
  <sheetViews>
    <sheetView tabSelected="1" zoomScale="85" zoomScaleNormal="85" workbookViewId="0">
      <selection activeCell="F22" sqref="F22"/>
    </sheetView>
  </sheetViews>
  <sheetFormatPr defaultRowHeight="13.2" x14ac:dyDescent="0.2"/>
  <cols>
    <col min="1" max="1" width="3.6640625" customWidth="1"/>
    <col min="2" max="2" width="11.77734375" customWidth="1"/>
    <col min="3" max="3" width="14.6640625" customWidth="1"/>
    <col min="4" max="4" width="39.5546875" customWidth="1"/>
    <col min="5" max="5" width="32.88671875" customWidth="1"/>
    <col min="6" max="6" width="27.6640625" customWidth="1"/>
    <col min="7" max="7" width="3.44140625" customWidth="1"/>
    <col min="8" max="8" width="17.44140625" customWidth="1"/>
    <col min="9" max="9" width="16.88671875" customWidth="1"/>
  </cols>
  <sheetData>
    <row r="1" spans="2:12" ht="29.4" customHeight="1" x14ac:dyDescent="0.2">
      <c r="C1" s="1" t="s">
        <v>19</v>
      </c>
    </row>
    <row r="3" spans="2:12" x14ac:dyDescent="0.2">
      <c r="B3" s="31" t="s">
        <v>5</v>
      </c>
      <c r="C3" s="3" t="s">
        <v>10</v>
      </c>
      <c r="D3" s="22" t="s">
        <v>0</v>
      </c>
    </row>
    <row r="4" spans="2:12" x14ac:dyDescent="0.2">
      <c r="B4" s="31"/>
      <c r="C4" s="3" t="s">
        <v>11</v>
      </c>
      <c r="D4" s="22" t="s">
        <v>560</v>
      </c>
      <c r="H4" s="4" t="s">
        <v>20</v>
      </c>
      <c r="I4" s="23" t="s">
        <v>566</v>
      </c>
    </row>
    <row r="5" spans="2:12" x14ac:dyDescent="0.2">
      <c r="B5" s="31"/>
      <c r="C5" s="3" t="s">
        <v>13</v>
      </c>
      <c r="D5" s="22" t="s">
        <v>47</v>
      </c>
    </row>
    <row r="6" spans="2:12" x14ac:dyDescent="0.2">
      <c r="B6" s="31"/>
      <c r="C6" s="3" t="s">
        <v>12</v>
      </c>
      <c r="D6" s="22" t="s">
        <v>48</v>
      </c>
      <c r="F6" s="1"/>
    </row>
    <row r="7" spans="2:12" x14ac:dyDescent="0.2">
      <c r="F7" s="1"/>
    </row>
    <row r="8" spans="2:12" x14ac:dyDescent="0.2">
      <c r="B8" s="12" t="s">
        <v>115</v>
      </c>
      <c r="C8" s="35"/>
      <c r="D8" s="36"/>
      <c r="E8" s="36"/>
      <c r="F8" s="37"/>
    </row>
    <row r="9" spans="2:12" ht="58.2" customHeight="1" x14ac:dyDescent="0.2">
      <c r="B9" s="13" t="s">
        <v>16</v>
      </c>
      <c r="C9" s="28"/>
      <c r="D9" s="29"/>
      <c r="E9" s="29"/>
      <c r="F9" s="30"/>
    </row>
    <row r="10" spans="2:12" x14ac:dyDescent="0.2">
      <c r="B10" s="12" t="s">
        <v>6</v>
      </c>
      <c r="C10" s="32"/>
      <c r="D10" s="33"/>
      <c r="E10" s="33"/>
      <c r="F10" s="34"/>
    </row>
    <row r="11" spans="2:12" x14ac:dyDescent="0.2">
      <c r="F11" s="1"/>
    </row>
    <row r="12" spans="2:12" ht="13.8" customHeight="1" x14ac:dyDescent="0.2">
      <c r="B12" s="24" t="s">
        <v>17</v>
      </c>
      <c r="C12" s="2" t="s">
        <v>9</v>
      </c>
      <c r="D12" s="2" t="s">
        <v>7</v>
      </c>
      <c r="E12" s="2" t="s">
        <v>8</v>
      </c>
      <c r="F12" s="2" t="s">
        <v>6</v>
      </c>
      <c r="H12" s="2" t="s">
        <v>18</v>
      </c>
      <c r="I12" s="2" t="s">
        <v>115</v>
      </c>
    </row>
    <row r="13" spans="2:12" x14ac:dyDescent="0.2">
      <c r="B13" s="24">
        <v>1</v>
      </c>
      <c r="C13" s="10" t="s">
        <v>565</v>
      </c>
      <c r="D13" s="9" t="s">
        <v>94</v>
      </c>
      <c r="E13" s="24"/>
      <c r="H13" s="25">
        <v>1</v>
      </c>
      <c r="I13" s="25">
        <v>1000000</v>
      </c>
    </row>
    <row r="14" spans="2:12" x14ac:dyDescent="0.2">
      <c r="B14" s="24">
        <v>2</v>
      </c>
      <c r="C14" s="9"/>
      <c r="D14" s="9"/>
      <c r="H14" s="25">
        <v>2</v>
      </c>
      <c r="I14" s="25">
        <v>2000000</v>
      </c>
    </row>
    <row r="15" spans="2:12" x14ac:dyDescent="0.2">
      <c r="B15" s="24">
        <v>3</v>
      </c>
      <c r="E15" s="24"/>
      <c r="F15" s="27"/>
      <c r="H15" s="25"/>
      <c r="I15" s="25"/>
      <c r="K15">
        <v>25</v>
      </c>
      <c r="L15" s="26">
        <v>25838</v>
      </c>
    </row>
    <row r="16" spans="2:12" x14ac:dyDescent="0.2">
      <c r="B16" s="24">
        <v>4</v>
      </c>
      <c r="C16" s="10"/>
      <c r="D16" s="9"/>
      <c r="E16" s="24"/>
      <c r="H16" s="25"/>
      <c r="I16" s="25"/>
      <c r="K16">
        <v>10</v>
      </c>
      <c r="L16">
        <v>39431</v>
      </c>
    </row>
    <row r="17" spans="2:11" x14ac:dyDescent="0.2">
      <c r="B17" s="24">
        <v>5</v>
      </c>
      <c r="C17" s="9"/>
      <c r="D17" s="9"/>
      <c r="H17" s="25"/>
      <c r="I17" s="25"/>
      <c r="K17">
        <v>15</v>
      </c>
    </row>
    <row r="18" spans="2:11" x14ac:dyDescent="0.2">
      <c r="B18" s="24">
        <v>6</v>
      </c>
      <c r="C18" s="9"/>
      <c r="D18" s="9"/>
      <c r="E18" s="24"/>
      <c r="F18" s="24"/>
      <c r="H18" s="25"/>
      <c r="I18" s="25"/>
      <c r="K18">
        <v>82</v>
      </c>
    </row>
    <row r="19" spans="2:11" x14ac:dyDescent="0.2">
      <c r="B19" s="24"/>
      <c r="C19" s="9"/>
      <c r="D19" s="9"/>
      <c r="E19" s="24"/>
      <c r="F19" s="24"/>
      <c r="H19" s="25"/>
      <c r="I19" s="25"/>
    </row>
    <row r="20" spans="2:11" x14ac:dyDescent="0.2">
      <c r="B20" s="24"/>
      <c r="C20" s="9"/>
      <c r="D20" s="9"/>
      <c r="E20" s="24"/>
      <c r="F20" s="24"/>
      <c r="H20" s="25"/>
      <c r="I20" s="25"/>
    </row>
    <row r="21" spans="2:11" x14ac:dyDescent="0.2">
      <c r="B21" s="24"/>
      <c r="C21" s="9"/>
      <c r="D21" s="9"/>
      <c r="E21" s="24"/>
      <c r="F21" s="24"/>
      <c r="H21" s="25"/>
      <c r="I21" s="25"/>
    </row>
    <row r="22" spans="2:11" x14ac:dyDescent="0.2">
      <c r="B22" s="24"/>
      <c r="C22" s="9"/>
      <c r="D22" s="9"/>
      <c r="E22" s="24"/>
      <c r="F22" s="24"/>
      <c r="H22" s="25"/>
      <c r="I22" s="25"/>
    </row>
    <row r="23" spans="2:11" x14ac:dyDescent="0.2">
      <c r="B23" s="24"/>
      <c r="C23" s="9"/>
      <c r="D23" s="9"/>
      <c r="E23" s="24"/>
      <c r="F23" s="24"/>
      <c r="H23" s="25"/>
      <c r="I23" s="25"/>
    </row>
    <row r="24" spans="2:11" x14ac:dyDescent="0.2">
      <c r="B24" s="24"/>
      <c r="C24" s="10"/>
      <c r="D24" s="9"/>
      <c r="E24" s="24"/>
      <c r="F24" s="24"/>
      <c r="H24" s="25"/>
      <c r="I24" s="25"/>
    </row>
    <row r="25" spans="2:11" x14ac:dyDescent="0.2">
      <c r="B25" s="24"/>
      <c r="C25" s="10"/>
      <c r="D25" s="9"/>
      <c r="E25" s="24"/>
      <c r="F25" s="24"/>
      <c r="H25" s="25"/>
      <c r="I25" s="25"/>
    </row>
    <row r="26" spans="2:11" x14ac:dyDescent="0.2">
      <c r="B26" s="24"/>
      <c r="C26" s="10"/>
      <c r="D26" s="11"/>
      <c r="E26" s="24"/>
      <c r="F26" s="24"/>
      <c r="H26" s="25"/>
      <c r="I26" s="25"/>
    </row>
    <row r="27" spans="2:11" x14ac:dyDescent="0.2">
      <c r="B27" s="24"/>
      <c r="C27" s="10"/>
      <c r="D27" s="11"/>
      <c r="E27" s="24"/>
      <c r="F27" s="24"/>
      <c r="H27" s="25"/>
      <c r="I27" s="25"/>
    </row>
    <row r="28" spans="2:11" x14ac:dyDescent="0.2">
      <c r="B28" s="24"/>
      <c r="C28" s="10"/>
      <c r="D28" s="9"/>
      <c r="E28" s="24"/>
      <c r="F28" s="24"/>
      <c r="H28" s="25"/>
      <c r="I28" s="25"/>
    </row>
    <row r="29" spans="2:11" x14ac:dyDescent="0.2">
      <c r="B29" s="24"/>
      <c r="C29" s="10"/>
      <c r="D29" s="9"/>
      <c r="E29" s="24"/>
      <c r="F29" s="24"/>
      <c r="H29" s="25"/>
      <c r="I29" s="25"/>
    </row>
    <row r="30" spans="2:11" x14ac:dyDescent="0.2">
      <c r="B30" s="24"/>
      <c r="C30" s="10"/>
      <c r="D30" s="9"/>
      <c r="E30" s="24"/>
      <c r="F30" s="24"/>
      <c r="H30" s="25"/>
      <c r="I30" s="25"/>
    </row>
    <row r="31" spans="2:11" x14ac:dyDescent="0.2">
      <c r="B31" s="24"/>
      <c r="C31" s="10"/>
      <c r="D31" s="9"/>
      <c r="E31" s="24"/>
      <c r="F31" s="24"/>
      <c r="H31" s="25"/>
      <c r="I31" s="25"/>
    </row>
    <row r="32" spans="2:11" x14ac:dyDescent="0.2">
      <c r="B32" s="24"/>
      <c r="C32" s="10"/>
      <c r="D32" s="9"/>
      <c r="E32" s="24"/>
      <c r="F32" s="24"/>
      <c r="H32" s="25"/>
      <c r="I32" s="25"/>
    </row>
    <row r="33" spans="2:9" x14ac:dyDescent="0.2">
      <c r="B33" s="24"/>
      <c r="C33" s="9"/>
      <c r="D33" s="9"/>
      <c r="E33" s="24"/>
      <c r="F33" s="24"/>
      <c r="H33" s="25"/>
      <c r="I33" s="25"/>
    </row>
    <row r="34" spans="2:9" x14ac:dyDescent="0.2">
      <c r="B34" s="24"/>
      <c r="C34" s="9"/>
      <c r="D34" s="11"/>
      <c r="E34" s="24"/>
      <c r="F34" s="24"/>
      <c r="H34" s="25"/>
      <c r="I34" s="25"/>
    </row>
    <row r="35" spans="2:9" x14ac:dyDescent="0.2">
      <c r="B35" s="24"/>
      <c r="E35" s="24"/>
      <c r="F35" s="24"/>
      <c r="H35" s="25"/>
      <c r="I35" s="25"/>
    </row>
    <row r="36" spans="2:9" x14ac:dyDescent="0.2">
      <c r="B36" s="24"/>
      <c r="E36" s="24"/>
      <c r="F36" s="24"/>
      <c r="H36" s="25"/>
      <c r="I36" s="25"/>
    </row>
    <row r="37" spans="2:9" x14ac:dyDescent="0.2">
      <c r="B37" s="24"/>
      <c r="E37" s="24"/>
      <c r="F37" s="24"/>
      <c r="H37" s="25"/>
      <c r="I37" s="25"/>
    </row>
    <row r="38" spans="2:9" x14ac:dyDescent="0.2">
      <c r="B38" s="24">
        <v>7</v>
      </c>
      <c r="C38" s="9" t="s">
        <v>71</v>
      </c>
      <c r="D38" s="9" t="s">
        <v>72</v>
      </c>
      <c r="E38" s="24" t="s">
        <v>646</v>
      </c>
      <c r="F38" s="24"/>
      <c r="H38" s="25"/>
      <c r="I38" s="25"/>
    </row>
    <row r="39" spans="2:9" x14ac:dyDescent="0.2">
      <c r="B39" s="24">
        <v>8</v>
      </c>
      <c r="C39" s="9" t="s">
        <v>73</v>
      </c>
      <c r="D39" s="9" t="s">
        <v>74</v>
      </c>
      <c r="E39" s="24"/>
      <c r="F39" s="24"/>
      <c r="H39" s="25"/>
      <c r="I39" s="25"/>
    </row>
    <row r="40" spans="2:9" x14ac:dyDescent="0.2">
      <c r="B40" s="24">
        <v>9</v>
      </c>
      <c r="C40" s="9" t="s">
        <v>75</v>
      </c>
      <c r="D40" s="9" t="s">
        <v>76</v>
      </c>
      <c r="E40" s="24"/>
      <c r="F40" s="21" t="s">
        <v>632</v>
      </c>
      <c r="H40" s="25"/>
      <c r="I40" s="25"/>
    </row>
    <row r="41" spans="2:9" x14ac:dyDescent="0.2">
      <c r="B41" s="24">
        <v>10</v>
      </c>
      <c r="C41" s="9" t="s">
        <v>77</v>
      </c>
      <c r="D41" s="9" t="s">
        <v>78</v>
      </c>
      <c r="E41" s="24"/>
      <c r="F41" s="24"/>
      <c r="H41" s="25"/>
      <c r="I41" s="25"/>
    </row>
    <row r="42" spans="2:9" x14ac:dyDescent="0.2">
      <c r="B42" s="24"/>
      <c r="C42" s="9" t="s">
        <v>79</v>
      </c>
      <c r="D42" s="9" t="s">
        <v>80</v>
      </c>
      <c r="E42" s="24"/>
      <c r="F42" s="24"/>
      <c r="H42" s="25"/>
      <c r="I42" s="25"/>
    </row>
    <row r="43" spans="2:9" x14ac:dyDescent="0.2">
      <c r="B43" s="24"/>
      <c r="C43" s="9" t="s">
        <v>81</v>
      </c>
      <c r="D43" s="9" t="s">
        <v>82</v>
      </c>
      <c r="E43" s="24"/>
      <c r="F43" s="24"/>
      <c r="H43" s="25"/>
      <c r="I43" s="25"/>
    </row>
    <row r="44" spans="2:9" x14ac:dyDescent="0.2">
      <c r="B44" s="24"/>
      <c r="C44" s="9" t="s">
        <v>83</v>
      </c>
      <c r="D44" s="9" t="s">
        <v>84</v>
      </c>
      <c r="E44" s="24" t="s">
        <v>641</v>
      </c>
      <c r="F44" s="24"/>
      <c r="H44" s="25"/>
      <c r="I44" s="25"/>
    </row>
    <row r="45" spans="2:9" x14ac:dyDescent="0.2">
      <c r="B45" s="24"/>
      <c r="C45" s="9" t="s">
        <v>594</v>
      </c>
      <c r="D45" s="9" t="s">
        <v>86</v>
      </c>
      <c r="E45" s="24" t="s">
        <v>642</v>
      </c>
      <c r="F45" s="3" t="s">
        <v>116</v>
      </c>
      <c r="H45" s="25"/>
      <c r="I45" s="25"/>
    </row>
    <row r="46" spans="2:9" x14ac:dyDescent="0.2">
      <c r="B46" s="24"/>
      <c r="C46" s="9" t="s">
        <v>591</v>
      </c>
      <c r="D46" s="9" t="s">
        <v>88</v>
      </c>
      <c r="E46" s="24"/>
      <c r="F46" s="24"/>
      <c r="H46" s="25"/>
      <c r="I46" s="25"/>
    </row>
    <row r="47" spans="2:9" x14ac:dyDescent="0.2">
      <c r="B47" s="24"/>
      <c r="C47" s="9" t="s">
        <v>89</v>
      </c>
      <c r="D47" s="9" t="s">
        <v>90</v>
      </c>
      <c r="E47" s="24"/>
      <c r="F47" s="24"/>
      <c r="H47" s="25"/>
      <c r="I47" s="25"/>
    </row>
    <row r="48" spans="2:9" x14ac:dyDescent="0.2">
      <c r="B48" s="24"/>
      <c r="C48" s="9" t="s">
        <v>621</v>
      </c>
      <c r="D48" s="9" t="s">
        <v>92</v>
      </c>
      <c r="E48" s="24"/>
      <c r="F48" s="24"/>
    </row>
    <row r="49" spans="2:6" x14ac:dyDescent="0.2">
      <c r="B49" s="24"/>
      <c r="C49" s="10" t="s">
        <v>565</v>
      </c>
      <c r="D49" s="9" t="s">
        <v>94</v>
      </c>
      <c r="E49" s="24"/>
      <c r="F49" s="24"/>
    </row>
    <row r="50" spans="2:6" x14ac:dyDescent="0.2">
      <c r="B50" s="24"/>
      <c r="C50" s="10" t="s">
        <v>95</v>
      </c>
      <c r="D50" s="9" t="s">
        <v>96</v>
      </c>
      <c r="E50" s="24"/>
      <c r="F50" s="24"/>
    </row>
    <row r="51" spans="2:6" x14ac:dyDescent="0.2">
      <c r="B51" s="24"/>
      <c r="C51" s="10" t="s">
        <v>566</v>
      </c>
      <c r="D51" s="11" t="s">
        <v>98</v>
      </c>
      <c r="E51" s="24"/>
      <c r="F51" s="3"/>
    </row>
    <row r="52" spans="2:6" x14ac:dyDescent="0.2">
      <c r="B52" s="24"/>
      <c r="C52" s="10" t="s">
        <v>99</v>
      </c>
      <c r="D52" s="11" t="s">
        <v>100</v>
      </c>
      <c r="E52" s="24"/>
      <c r="F52" s="24"/>
    </row>
    <row r="53" spans="2:6" x14ac:dyDescent="0.2">
      <c r="B53" s="24"/>
      <c r="C53" s="10" t="s">
        <v>619</v>
      </c>
      <c r="D53" s="9" t="s">
        <v>102</v>
      </c>
      <c r="E53" s="24"/>
      <c r="F53" s="24"/>
    </row>
    <row r="54" spans="2:6" x14ac:dyDescent="0.2">
      <c r="B54" s="24"/>
      <c r="C54" s="10" t="s">
        <v>103</v>
      </c>
      <c r="D54" s="9" t="s">
        <v>104</v>
      </c>
      <c r="E54" s="24"/>
      <c r="F54" s="24"/>
    </row>
    <row r="55" spans="2:6" x14ac:dyDescent="0.2">
      <c r="B55" s="24"/>
      <c r="C55" s="10" t="s">
        <v>623</v>
      </c>
      <c r="D55" s="9" t="s">
        <v>106</v>
      </c>
      <c r="E55" s="24"/>
      <c r="F55" s="24"/>
    </row>
    <row r="56" spans="2:6" x14ac:dyDescent="0.2">
      <c r="B56" s="24"/>
      <c r="C56" s="10" t="s">
        <v>593</v>
      </c>
      <c r="D56" s="9" t="s">
        <v>108</v>
      </c>
      <c r="E56" s="24"/>
      <c r="F56" s="24"/>
    </row>
    <row r="57" spans="2:6" x14ac:dyDescent="0.2">
      <c r="C57" s="10" t="s">
        <v>620</v>
      </c>
      <c r="D57" s="9" t="s">
        <v>110</v>
      </c>
    </row>
    <row r="58" spans="2:6" x14ac:dyDescent="0.2">
      <c r="C58" s="9" t="s">
        <v>624</v>
      </c>
      <c r="D58" s="9" t="s">
        <v>112</v>
      </c>
    </row>
    <row r="59" spans="2:6" x14ac:dyDescent="0.2">
      <c r="C59" s="9" t="s">
        <v>630</v>
      </c>
      <c r="D59" s="11" t="s">
        <v>114</v>
      </c>
    </row>
    <row r="60" spans="2:6" x14ac:dyDescent="0.2">
      <c r="C60" s="9"/>
      <c r="D60" s="9"/>
    </row>
    <row r="61" spans="2:6" x14ac:dyDescent="0.2">
      <c r="C61" s="9"/>
      <c r="D61" s="9"/>
    </row>
    <row r="62" spans="2:6" x14ac:dyDescent="0.2">
      <c r="C62" s="9"/>
      <c r="D62" s="9"/>
    </row>
    <row r="63" spans="2:6" x14ac:dyDescent="0.2">
      <c r="C63" s="9"/>
      <c r="D63" s="9"/>
    </row>
    <row r="64" spans="2:6" x14ac:dyDescent="0.2">
      <c r="C64" s="9"/>
      <c r="D64" s="9"/>
    </row>
    <row r="65" spans="3:6" x14ac:dyDescent="0.2">
      <c r="C65" s="9" t="s">
        <v>71</v>
      </c>
      <c r="D65" s="9" t="s">
        <v>72</v>
      </c>
      <c r="E65" s="24" t="s">
        <v>644</v>
      </c>
      <c r="F65" s="24"/>
    </row>
    <row r="66" spans="3:6" x14ac:dyDescent="0.2">
      <c r="C66" s="9" t="s">
        <v>75</v>
      </c>
      <c r="D66" s="9" t="s">
        <v>76</v>
      </c>
      <c r="E66" s="24" t="s">
        <v>644</v>
      </c>
      <c r="F66" s="24"/>
    </row>
    <row r="67" spans="3:6" x14ac:dyDescent="0.2">
      <c r="C67" s="9" t="s">
        <v>81</v>
      </c>
      <c r="D67" s="9" t="s">
        <v>82</v>
      </c>
      <c r="E67" s="24" t="s">
        <v>644</v>
      </c>
    </row>
    <row r="68" spans="3:6" x14ac:dyDescent="0.2">
      <c r="C68" s="9" t="s">
        <v>89</v>
      </c>
      <c r="D68" s="9" t="s">
        <v>90</v>
      </c>
      <c r="E68" s="24"/>
      <c r="F68" s="24"/>
    </row>
    <row r="69" spans="3:6" x14ac:dyDescent="0.2">
      <c r="C69" s="10"/>
      <c r="D69" s="9"/>
    </row>
    <row r="70" spans="3:6" x14ac:dyDescent="0.2">
      <c r="C70" s="10"/>
      <c r="D70" s="9"/>
    </row>
    <row r="71" spans="3:6" x14ac:dyDescent="0.2">
      <c r="C71" s="10"/>
      <c r="D71" s="11"/>
    </row>
    <row r="72" spans="3:6" x14ac:dyDescent="0.2">
      <c r="C72" s="10"/>
      <c r="D72" s="11"/>
    </row>
    <row r="73" spans="3:6" x14ac:dyDescent="0.2">
      <c r="C73" s="10"/>
      <c r="D73" s="9"/>
    </row>
    <row r="74" spans="3:6" x14ac:dyDescent="0.2">
      <c r="C74" s="10"/>
      <c r="D74" s="9"/>
    </row>
    <row r="75" spans="3:6" x14ac:dyDescent="0.2">
      <c r="C75" s="10"/>
      <c r="D75" s="9"/>
    </row>
    <row r="76" spans="3:6" x14ac:dyDescent="0.2">
      <c r="C76" s="10"/>
      <c r="D76" s="9"/>
    </row>
    <row r="77" spans="3:6" x14ac:dyDescent="0.2">
      <c r="C77" s="10"/>
      <c r="D77" s="9"/>
    </row>
    <row r="78" spans="3:6" x14ac:dyDescent="0.2">
      <c r="C78" s="9"/>
      <c r="D78" s="9"/>
    </row>
    <row r="79" spans="3:6" x14ac:dyDescent="0.2">
      <c r="C79" s="9"/>
      <c r="D79" s="11"/>
    </row>
  </sheetData>
  <mergeCells count="4">
    <mergeCell ref="C9:F9"/>
    <mergeCell ref="B3:B6"/>
    <mergeCell ref="C10:F10"/>
    <mergeCell ref="C8:F8"/>
  </mergeCells>
  <phoneticPr fontId="1"/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5" r:id="rId4" name="cmdExcutefile">
          <controlPr defaultSize="0" autoLine="0" r:id="rId5">
            <anchor moveWithCells="1">
              <from>
                <xdr:col>7</xdr:col>
                <xdr:colOff>518160</xdr:colOff>
                <xdr:row>8</xdr:row>
                <xdr:rowOff>373380</xdr:rowOff>
              </from>
              <to>
                <xdr:col>8</xdr:col>
                <xdr:colOff>533400</xdr:colOff>
                <xdr:row>9</xdr:row>
                <xdr:rowOff>0</xdr:rowOff>
              </to>
            </anchor>
          </controlPr>
        </control>
      </mc:Choice>
      <mc:Fallback>
        <control shapeId="1025" r:id="rId4" name="cmdExcutefile"/>
      </mc:Fallback>
    </mc:AlternateContent>
    <mc:AlternateContent xmlns:mc="http://schemas.openxmlformats.org/markup-compatibility/2006">
      <mc:Choice Requires="x14">
        <control shapeId="1026" r:id="rId6" name="cmdExcuteSelect">
          <controlPr defaultSize="0" autoLine="0" r:id="rId7">
            <anchor moveWithCells="1">
              <from>
                <xdr:col>4</xdr:col>
                <xdr:colOff>594360</xdr:colOff>
                <xdr:row>2</xdr:row>
                <xdr:rowOff>76200</xdr:rowOff>
              </from>
              <to>
                <xdr:col>4</xdr:col>
                <xdr:colOff>1805940</xdr:colOff>
                <xdr:row>4</xdr:row>
                <xdr:rowOff>106680</xdr:rowOff>
              </to>
            </anchor>
          </controlPr>
        </control>
      </mc:Choice>
      <mc:Fallback>
        <control shapeId="1026" r:id="rId6" name="cmdExcuteSelect"/>
      </mc:Fallback>
    </mc:AlternateContent>
    <mc:AlternateContent xmlns:mc="http://schemas.openxmlformats.org/markup-compatibility/2006">
      <mc:Choice Requires="x14">
        <control shapeId="1027" r:id="rId8" name="cmdExcuteSheet">
          <controlPr defaultSize="0" autoLine="0" r:id="rId9">
            <anchor moveWithCells="1">
              <from>
                <xdr:col>7</xdr:col>
                <xdr:colOff>518160</xdr:colOff>
                <xdr:row>7</xdr:row>
                <xdr:rowOff>0</xdr:rowOff>
              </from>
              <to>
                <xdr:col>8</xdr:col>
                <xdr:colOff>541020</xdr:colOff>
                <xdr:row>8</xdr:row>
                <xdr:rowOff>198120</xdr:rowOff>
              </to>
            </anchor>
          </controlPr>
        </control>
      </mc:Choice>
      <mc:Fallback>
        <control shapeId="1027" r:id="rId8" name="cmdExcuteSheet"/>
      </mc:Fallback>
    </mc:AlternateContent>
    <mc:AlternateContent xmlns:mc="http://schemas.openxmlformats.org/markup-compatibility/2006">
      <mc:Choice Requires="x14">
        <control shapeId="1028" r:id="rId10" name="cmdDataInsert">
          <controlPr defaultSize="0" autoLine="0" r:id="rId11">
            <anchor moveWithCells="1">
              <from>
                <xdr:col>5</xdr:col>
                <xdr:colOff>739140</xdr:colOff>
                <xdr:row>2</xdr:row>
                <xdr:rowOff>76200</xdr:rowOff>
              </from>
              <to>
                <xdr:col>5</xdr:col>
                <xdr:colOff>1866900</xdr:colOff>
                <xdr:row>4</xdr:row>
                <xdr:rowOff>106680</xdr:rowOff>
              </to>
            </anchor>
          </controlPr>
        </control>
      </mc:Choice>
      <mc:Fallback>
        <control shapeId="1028" r:id="rId10" name="cmdDataInser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AA8BA-EC92-4050-8F1C-D5BA2BE3ADF8}">
  <sheetPr>
    <tabColor rgb="FFFFC000"/>
    <pageSetUpPr fitToPage="1"/>
  </sheetPr>
  <dimension ref="A1:BQ87"/>
  <sheetViews>
    <sheetView topLeftCell="A13" workbookViewId="0">
      <selection activeCell="E43" sqref="E43"/>
    </sheetView>
  </sheetViews>
  <sheetFormatPr defaultRowHeight="13.2" x14ac:dyDescent="0.2"/>
  <cols>
    <col min="1" max="1" width="14.21875" customWidth="1"/>
    <col min="2" max="2" width="23" bestFit="1" customWidth="1"/>
    <col min="3" max="3" width="20.33203125" bestFit="1" customWidth="1"/>
    <col min="4" max="4" width="20" bestFit="1" customWidth="1"/>
    <col min="5" max="5" width="24.77734375" bestFit="1" customWidth="1"/>
    <col min="6" max="6" width="18.33203125" bestFit="1" customWidth="1"/>
    <col min="7" max="7" width="21.44140625" bestFit="1" customWidth="1"/>
    <col min="8" max="8" width="27.77734375" bestFit="1" customWidth="1"/>
    <col min="9" max="9" width="33.88671875" bestFit="1" customWidth="1"/>
    <col min="10" max="10" width="17.6640625" bestFit="1" customWidth="1"/>
    <col min="11" max="11" width="18.44140625" bestFit="1" customWidth="1"/>
    <col min="12" max="12" width="22.6640625" bestFit="1" customWidth="1"/>
    <col min="13" max="13" width="26.44140625" bestFit="1" customWidth="1"/>
    <col min="14" max="14" width="20.21875" bestFit="1" customWidth="1"/>
    <col min="15" max="15" width="21" bestFit="1" customWidth="1"/>
    <col min="16" max="16" width="31.6640625" bestFit="1" customWidth="1"/>
    <col min="17" max="17" width="20.88671875" bestFit="1" customWidth="1"/>
    <col min="18" max="18" width="19.44140625" bestFit="1" customWidth="1"/>
    <col min="19" max="19" width="22.33203125" bestFit="1" customWidth="1"/>
    <col min="20" max="20" width="25" bestFit="1" customWidth="1"/>
    <col min="21" max="21" width="35.33203125" bestFit="1" customWidth="1"/>
    <col min="22" max="22" width="22.33203125" bestFit="1" customWidth="1"/>
    <col min="23" max="23" width="24.44140625" bestFit="1" customWidth="1"/>
    <col min="24" max="24" width="35.33203125" bestFit="1" customWidth="1"/>
    <col min="25" max="25" width="19.44140625" bestFit="1" customWidth="1"/>
    <col min="26" max="26" width="22.33203125" bestFit="1" customWidth="1"/>
    <col min="27" max="27" width="24.44140625" bestFit="1" customWidth="1"/>
    <col min="28" max="28" width="19.77734375" bestFit="1" customWidth="1"/>
    <col min="29" max="29" width="17.77734375" bestFit="1" customWidth="1"/>
    <col min="30" max="30" width="23.88671875" bestFit="1" customWidth="1"/>
    <col min="31" max="32" width="20.5546875" bestFit="1" customWidth="1"/>
    <col min="33" max="33" width="32.6640625" bestFit="1" customWidth="1"/>
    <col min="34" max="34" width="21.5546875" bestFit="1" customWidth="1"/>
    <col min="35" max="35" width="33.6640625" bestFit="1" customWidth="1"/>
    <col min="36" max="36" width="22.6640625" bestFit="1" customWidth="1"/>
    <col min="37" max="37" width="33.6640625" bestFit="1" customWidth="1"/>
    <col min="38" max="38" width="23.109375" bestFit="1" customWidth="1"/>
    <col min="39" max="39" width="21.109375" bestFit="1" customWidth="1"/>
    <col min="40" max="40" width="17.44140625" bestFit="1" customWidth="1"/>
    <col min="41" max="41" width="17.33203125" bestFit="1" customWidth="1"/>
    <col min="42" max="42" width="30.109375" bestFit="1" customWidth="1"/>
    <col min="43" max="43" width="10.33203125" bestFit="1" customWidth="1"/>
    <col min="44" max="44" width="20.88671875" bestFit="1" customWidth="1"/>
    <col min="45" max="46" width="15.88671875" bestFit="1" customWidth="1"/>
    <col min="47" max="48" width="22.44140625" bestFit="1" customWidth="1"/>
    <col min="49" max="49" width="26.77734375" bestFit="1" customWidth="1"/>
    <col min="50" max="50" width="36.6640625" bestFit="1" customWidth="1"/>
    <col min="51" max="51" width="38" bestFit="1" customWidth="1"/>
    <col min="52" max="52" width="28.77734375" bestFit="1" customWidth="1"/>
    <col min="53" max="61" width="21" bestFit="1" customWidth="1"/>
    <col min="62" max="67" width="22.109375" bestFit="1" customWidth="1"/>
    <col min="68" max="68" width="16.5546875" bestFit="1" customWidth="1"/>
    <col min="69" max="69" width="20.88671875" bestFit="1" customWidth="1"/>
  </cols>
  <sheetData>
    <row r="1" spans="1:19" x14ac:dyDescent="0.2">
      <c r="A1" s="1" t="s">
        <v>595</v>
      </c>
    </row>
    <row r="2" spans="1:19" x14ac:dyDescent="0.2">
      <c r="A2" s="20" t="s">
        <v>569</v>
      </c>
      <c r="B2" s="20" t="s">
        <v>596</v>
      </c>
      <c r="C2" s="20" t="s">
        <v>597</v>
      </c>
      <c r="D2" s="20" t="s">
        <v>571</v>
      </c>
      <c r="E2" s="20" t="s">
        <v>598</v>
      </c>
      <c r="F2" s="20" t="s">
        <v>599</v>
      </c>
      <c r="G2" s="20" t="s">
        <v>600</v>
      </c>
      <c r="H2" s="20" t="s">
        <v>601</v>
      </c>
      <c r="I2" s="20" t="s">
        <v>602</v>
      </c>
      <c r="J2" s="20" t="s">
        <v>603</v>
      </c>
      <c r="K2" s="20" t="s">
        <v>604</v>
      </c>
      <c r="L2" s="20" t="s">
        <v>606</v>
      </c>
      <c r="M2" s="20" t="s">
        <v>608</v>
      </c>
      <c r="N2" s="20" t="s">
        <v>610</v>
      </c>
      <c r="O2" s="20" t="s">
        <v>612</v>
      </c>
      <c r="P2" s="20" t="s">
        <v>614</v>
      </c>
      <c r="Q2" s="20" t="s">
        <v>616</v>
      </c>
      <c r="R2" s="20" t="s">
        <v>648</v>
      </c>
      <c r="S2" s="20" t="s">
        <v>649</v>
      </c>
    </row>
    <row r="3" spans="1:19" x14ac:dyDescent="0.2">
      <c r="A3" s="20" t="s">
        <v>570</v>
      </c>
      <c r="B3" s="20" t="s">
        <v>40</v>
      </c>
      <c r="C3" s="20" t="s">
        <v>41</v>
      </c>
      <c r="D3" s="20" t="s">
        <v>42</v>
      </c>
      <c r="E3" s="20" t="s">
        <v>21</v>
      </c>
      <c r="F3" s="20" t="s">
        <v>43</v>
      </c>
      <c r="G3" s="20" t="s">
        <v>44</v>
      </c>
      <c r="H3" s="20" t="s">
        <v>45</v>
      </c>
      <c r="I3" s="20" t="s">
        <v>46</v>
      </c>
      <c r="J3" s="20" t="s">
        <v>22</v>
      </c>
      <c r="K3" s="20" t="s">
        <v>605</v>
      </c>
      <c r="L3" s="20" t="s">
        <v>607</v>
      </c>
      <c r="M3" s="20" t="s">
        <v>609</v>
      </c>
      <c r="N3" s="20" t="s">
        <v>611</v>
      </c>
      <c r="O3" s="20" t="s">
        <v>613</v>
      </c>
      <c r="P3" s="20" t="s">
        <v>615</v>
      </c>
      <c r="Q3" s="20" t="s">
        <v>617</v>
      </c>
      <c r="R3" s="20" t="s">
        <v>654</v>
      </c>
      <c r="S3" s="20" t="s">
        <v>652</v>
      </c>
    </row>
    <row r="5" spans="1:19" x14ac:dyDescent="0.2">
      <c r="A5" s="1" t="s">
        <v>669</v>
      </c>
    </row>
    <row r="6" spans="1:19" x14ac:dyDescent="0.2">
      <c r="A6" s="20" t="s">
        <v>569</v>
      </c>
      <c r="B6" s="20" t="s">
        <v>596</v>
      </c>
      <c r="C6" s="20" t="s">
        <v>602</v>
      </c>
      <c r="D6" s="20" t="s">
        <v>671</v>
      </c>
    </row>
    <row r="7" spans="1:19" x14ac:dyDescent="0.2">
      <c r="A7" s="20" t="s">
        <v>570</v>
      </c>
      <c r="B7" s="20" t="s">
        <v>40</v>
      </c>
      <c r="C7" s="20" t="s">
        <v>670</v>
      </c>
      <c r="D7" s="20" t="s">
        <v>672</v>
      </c>
    </row>
    <row r="9" spans="1:19" x14ac:dyDescent="0.2">
      <c r="A9" s="1" t="s">
        <v>673</v>
      </c>
    </row>
    <row r="10" spans="1:19" x14ac:dyDescent="0.2">
      <c r="A10" s="20" t="s">
        <v>674</v>
      </c>
      <c r="B10" s="20" t="s">
        <v>569</v>
      </c>
      <c r="C10" s="20" t="s">
        <v>596</v>
      </c>
      <c r="D10" s="20" t="s">
        <v>676</v>
      </c>
      <c r="E10" s="20" t="s">
        <v>678</v>
      </c>
      <c r="F10" s="20" t="s">
        <v>680</v>
      </c>
      <c r="G10" s="20" t="s">
        <v>682</v>
      </c>
      <c r="H10" s="20" t="s">
        <v>684</v>
      </c>
      <c r="I10" s="20" t="s">
        <v>686</v>
      </c>
      <c r="J10" s="20" t="s">
        <v>688</v>
      </c>
      <c r="K10" s="20" t="s">
        <v>690</v>
      </c>
      <c r="L10" s="20" t="s">
        <v>692</v>
      </c>
      <c r="M10" s="20" t="s">
        <v>694</v>
      </c>
      <c r="N10" s="20" t="s">
        <v>696</v>
      </c>
      <c r="O10" s="20" t="s">
        <v>698</v>
      </c>
      <c r="P10" s="20" t="s">
        <v>700</v>
      </c>
      <c r="Q10" s="20" t="s">
        <v>702</v>
      </c>
    </row>
    <row r="11" spans="1:19" x14ac:dyDescent="0.2">
      <c r="A11" s="20" t="s">
        <v>675</v>
      </c>
      <c r="B11" s="20" t="s">
        <v>570</v>
      </c>
      <c r="C11" s="20" t="s">
        <v>40</v>
      </c>
      <c r="D11" s="20" t="s">
        <v>677</v>
      </c>
      <c r="E11" s="20" t="s">
        <v>679</v>
      </c>
      <c r="F11" s="20" t="s">
        <v>681</v>
      </c>
      <c r="G11" s="20" t="s">
        <v>683</v>
      </c>
      <c r="H11" s="20" t="s">
        <v>685</v>
      </c>
      <c r="I11" s="20" t="s">
        <v>687</v>
      </c>
      <c r="J11" s="20" t="s">
        <v>689</v>
      </c>
      <c r="K11" s="20" t="s">
        <v>691</v>
      </c>
      <c r="L11" s="20" t="s">
        <v>693</v>
      </c>
      <c r="M11" s="20" t="s">
        <v>695</v>
      </c>
      <c r="N11" s="20" t="s">
        <v>697</v>
      </c>
      <c r="O11" s="20" t="s">
        <v>699</v>
      </c>
      <c r="P11" s="20" t="s">
        <v>701</v>
      </c>
      <c r="Q11" s="20" t="s">
        <v>703</v>
      </c>
    </row>
    <row r="13" spans="1:19" x14ac:dyDescent="0.2">
      <c r="A13" s="1" t="s">
        <v>704</v>
      </c>
    </row>
    <row r="14" spans="1:19" x14ac:dyDescent="0.2">
      <c r="A14" s="20" t="s">
        <v>569</v>
      </c>
      <c r="B14" s="20" t="s">
        <v>596</v>
      </c>
      <c r="C14" s="20" t="s">
        <v>705</v>
      </c>
      <c r="D14" s="20" t="s">
        <v>707</v>
      </c>
      <c r="E14" s="20" t="s">
        <v>709</v>
      </c>
      <c r="F14" s="20" t="s">
        <v>711</v>
      </c>
      <c r="G14" s="20" t="s">
        <v>713</v>
      </c>
      <c r="H14" s="20" t="s">
        <v>715</v>
      </c>
      <c r="I14" s="20" t="s">
        <v>717</v>
      </c>
      <c r="J14" s="20" t="s">
        <v>719</v>
      </c>
      <c r="K14" s="20" t="s">
        <v>721</v>
      </c>
      <c r="L14" s="20" t="s">
        <v>723</v>
      </c>
      <c r="M14" s="20" t="s">
        <v>725</v>
      </c>
    </row>
    <row r="15" spans="1:19" x14ac:dyDescent="0.2">
      <c r="A15" s="20" t="s">
        <v>570</v>
      </c>
      <c r="B15" s="20" t="s">
        <v>40</v>
      </c>
      <c r="C15" s="20" t="s">
        <v>706</v>
      </c>
      <c r="D15" s="20" t="s">
        <v>708</v>
      </c>
      <c r="E15" s="20" t="s">
        <v>710</v>
      </c>
      <c r="F15" s="20" t="s">
        <v>712</v>
      </c>
      <c r="G15" s="20" t="s">
        <v>714</v>
      </c>
      <c r="H15" s="20" t="s">
        <v>716</v>
      </c>
      <c r="I15" s="20" t="s">
        <v>718</v>
      </c>
      <c r="J15" s="20" t="s">
        <v>720</v>
      </c>
      <c r="K15" s="20" t="s">
        <v>722</v>
      </c>
      <c r="L15" s="20" t="s">
        <v>724</v>
      </c>
      <c r="M15" s="20" t="s">
        <v>726</v>
      </c>
    </row>
    <row r="17" spans="1:8" x14ac:dyDescent="0.2">
      <c r="A17" s="1" t="s">
        <v>727</v>
      </c>
    </row>
    <row r="18" spans="1:8" x14ac:dyDescent="0.2">
      <c r="A18" s="20" t="s">
        <v>569</v>
      </c>
      <c r="B18" s="20" t="s">
        <v>596</v>
      </c>
      <c r="C18" s="20" t="s">
        <v>728</v>
      </c>
      <c r="D18" s="20" t="s">
        <v>719</v>
      </c>
      <c r="E18" s="20" t="s">
        <v>602</v>
      </c>
      <c r="F18" s="20" t="s">
        <v>731</v>
      </c>
      <c r="G18" s="20" t="s">
        <v>723</v>
      </c>
    </row>
    <row r="19" spans="1:8" x14ac:dyDescent="0.2">
      <c r="A19" s="20" t="s">
        <v>570</v>
      </c>
      <c r="B19" s="20" t="s">
        <v>40</v>
      </c>
      <c r="C19" s="20" t="s">
        <v>729</v>
      </c>
      <c r="D19" s="20" t="s">
        <v>720</v>
      </c>
      <c r="E19" s="20" t="s">
        <v>730</v>
      </c>
      <c r="F19" s="20" t="s">
        <v>732</v>
      </c>
      <c r="G19" s="20" t="s">
        <v>724</v>
      </c>
    </row>
    <row r="21" spans="1:8" x14ac:dyDescent="0.2">
      <c r="A21" s="1" t="s">
        <v>733</v>
      </c>
    </row>
    <row r="22" spans="1:8" x14ac:dyDescent="0.2">
      <c r="A22" s="20" t="s">
        <v>569</v>
      </c>
      <c r="B22" s="20" t="s">
        <v>596</v>
      </c>
      <c r="C22" s="20" t="s">
        <v>597</v>
      </c>
      <c r="D22" s="20" t="s">
        <v>571</v>
      </c>
      <c r="E22" s="20" t="s">
        <v>603</v>
      </c>
      <c r="F22" s="20" t="s">
        <v>598</v>
      </c>
      <c r="G22" s="20" t="s">
        <v>648</v>
      </c>
      <c r="H22" s="20" t="s">
        <v>735</v>
      </c>
    </row>
    <row r="23" spans="1:8" x14ac:dyDescent="0.2">
      <c r="A23" s="20" t="s">
        <v>570</v>
      </c>
      <c r="B23" s="20" t="s">
        <v>40</v>
      </c>
      <c r="C23" s="20" t="s">
        <v>734</v>
      </c>
      <c r="D23" s="20" t="s">
        <v>42</v>
      </c>
      <c r="E23" s="20" t="s">
        <v>22</v>
      </c>
      <c r="F23" s="20" t="s">
        <v>21</v>
      </c>
      <c r="G23" s="20" t="s">
        <v>654</v>
      </c>
      <c r="H23" s="20" t="s">
        <v>736</v>
      </c>
    </row>
    <row r="25" spans="1:8" x14ac:dyDescent="0.2">
      <c r="A25" s="1" t="s">
        <v>662</v>
      </c>
    </row>
    <row r="26" spans="1:8" x14ac:dyDescent="0.2">
      <c r="A26" s="20" t="s">
        <v>663</v>
      </c>
      <c r="B26" s="20" t="s">
        <v>571</v>
      </c>
      <c r="C26" s="20" t="s">
        <v>665</v>
      </c>
      <c r="D26" s="20" t="s">
        <v>569</v>
      </c>
      <c r="E26" s="20" t="s">
        <v>659</v>
      </c>
      <c r="F26" s="20" t="s">
        <v>667</v>
      </c>
    </row>
    <row r="27" spans="1:8" x14ac:dyDescent="0.2">
      <c r="A27" s="20" t="s">
        <v>664</v>
      </c>
      <c r="B27" s="20" t="s">
        <v>661</v>
      </c>
      <c r="C27" s="20" t="s">
        <v>666</v>
      </c>
      <c r="D27" s="20" t="s">
        <v>570</v>
      </c>
      <c r="E27" s="20" t="s">
        <v>660</v>
      </c>
      <c r="F27" s="20" t="s">
        <v>668</v>
      </c>
    </row>
    <row r="29" spans="1:8" x14ac:dyDescent="0.2">
      <c r="A29" s="1" t="s">
        <v>737</v>
      </c>
    </row>
    <row r="30" spans="1:8" x14ac:dyDescent="0.2">
      <c r="A30" s="20" t="s">
        <v>657</v>
      </c>
      <c r="B30" s="20" t="s">
        <v>571</v>
      </c>
      <c r="C30" s="20" t="s">
        <v>738</v>
      </c>
    </row>
    <row r="31" spans="1:8" x14ac:dyDescent="0.2">
      <c r="A31" s="20" t="s">
        <v>658</v>
      </c>
      <c r="B31" s="20" t="s">
        <v>661</v>
      </c>
      <c r="C31" s="20" t="s">
        <v>739</v>
      </c>
    </row>
    <row r="33" spans="1:42" x14ac:dyDescent="0.2">
      <c r="A33" s="1" t="s">
        <v>656</v>
      </c>
    </row>
    <row r="34" spans="1:42" x14ac:dyDescent="0.2">
      <c r="A34" s="20" t="s">
        <v>657</v>
      </c>
      <c r="B34" s="20" t="s">
        <v>569</v>
      </c>
      <c r="C34" s="20" t="s">
        <v>659</v>
      </c>
      <c r="D34" s="20" t="s">
        <v>571</v>
      </c>
    </row>
    <row r="35" spans="1:42" x14ac:dyDescent="0.2">
      <c r="A35" s="20" t="s">
        <v>658</v>
      </c>
      <c r="B35" s="20" t="s">
        <v>570</v>
      </c>
      <c r="C35" s="20" t="s">
        <v>660</v>
      </c>
      <c r="D35" s="20" t="s">
        <v>661</v>
      </c>
    </row>
    <row r="37" spans="1:42" x14ac:dyDescent="0.2">
      <c r="A37" s="1" t="s">
        <v>740</v>
      </c>
    </row>
    <row r="38" spans="1:42" x14ac:dyDescent="0.2">
      <c r="A38" s="20" t="s">
        <v>657</v>
      </c>
      <c r="B38" s="20" t="s">
        <v>602</v>
      </c>
      <c r="C38" s="20" t="s">
        <v>597</v>
      </c>
      <c r="D38" s="20" t="s">
        <v>571</v>
      </c>
      <c r="E38" s="20" t="s">
        <v>598</v>
      </c>
      <c r="F38" s="20" t="s">
        <v>603</v>
      </c>
      <c r="G38" s="20" t="s">
        <v>599</v>
      </c>
      <c r="H38" s="20" t="s">
        <v>742</v>
      </c>
      <c r="I38" s="20" t="s">
        <v>600</v>
      </c>
      <c r="J38" s="20" t="s">
        <v>569</v>
      </c>
      <c r="K38" s="20" t="s">
        <v>686</v>
      </c>
      <c r="L38" s="20" t="s">
        <v>688</v>
      </c>
      <c r="M38" s="20" t="s">
        <v>723</v>
      </c>
      <c r="N38" s="20" t="s">
        <v>745</v>
      </c>
      <c r="O38" s="20" t="s">
        <v>747</v>
      </c>
      <c r="P38" s="20" t="s">
        <v>608</v>
      </c>
    </row>
    <row r="39" spans="1:42" x14ac:dyDescent="0.2">
      <c r="A39" s="20" t="s">
        <v>658</v>
      </c>
      <c r="B39" s="20" t="s">
        <v>730</v>
      </c>
      <c r="C39" s="20" t="s">
        <v>741</v>
      </c>
      <c r="D39" s="20" t="s">
        <v>42</v>
      </c>
      <c r="E39" s="20" t="s">
        <v>21</v>
      </c>
      <c r="F39" s="20" t="s">
        <v>22</v>
      </c>
      <c r="G39" s="20" t="s">
        <v>43</v>
      </c>
      <c r="H39" s="20" t="s">
        <v>743</v>
      </c>
      <c r="I39" s="20" t="s">
        <v>44</v>
      </c>
      <c r="J39" s="20" t="s">
        <v>570</v>
      </c>
      <c r="K39" s="20" t="s">
        <v>687</v>
      </c>
      <c r="L39" s="20" t="s">
        <v>689</v>
      </c>
      <c r="M39" s="20" t="s">
        <v>744</v>
      </c>
      <c r="N39" s="20" t="s">
        <v>746</v>
      </c>
      <c r="O39" s="20" t="s">
        <v>748</v>
      </c>
      <c r="P39" s="20" t="s">
        <v>749</v>
      </c>
    </row>
    <row r="41" spans="1:42" x14ac:dyDescent="0.2">
      <c r="A41" s="1" t="s">
        <v>750</v>
      </c>
    </row>
    <row r="42" spans="1:42" x14ac:dyDescent="0.2">
      <c r="A42" s="20" t="s">
        <v>569</v>
      </c>
      <c r="B42" s="20" t="s">
        <v>686</v>
      </c>
      <c r="C42" s="20" t="s">
        <v>606</v>
      </c>
      <c r="D42" s="20" t="s">
        <v>571</v>
      </c>
    </row>
    <row r="43" spans="1:42" x14ac:dyDescent="0.2">
      <c r="A43" s="20" t="s">
        <v>570</v>
      </c>
      <c r="B43" s="20" t="s">
        <v>687</v>
      </c>
      <c r="C43" s="20" t="s">
        <v>609</v>
      </c>
      <c r="D43" s="20" t="s">
        <v>689</v>
      </c>
    </row>
    <row r="45" spans="1:42" x14ac:dyDescent="0.2">
      <c r="A45" s="1" t="s">
        <v>751</v>
      </c>
    </row>
    <row r="46" spans="1:42" x14ac:dyDescent="0.2">
      <c r="A46" s="20" t="s">
        <v>752</v>
      </c>
      <c r="B46" s="20" t="s">
        <v>754</v>
      </c>
      <c r="C46" s="20" t="s">
        <v>756</v>
      </c>
      <c r="D46" s="20" t="s">
        <v>758</v>
      </c>
      <c r="E46" s="20" t="s">
        <v>571</v>
      </c>
      <c r="F46" s="20" t="s">
        <v>760</v>
      </c>
      <c r="G46" s="20" t="s">
        <v>762</v>
      </c>
      <c r="H46" s="20" t="s">
        <v>764</v>
      </c>
      <c r="I46" s="20" t="s">
        <v>766</v>
      </c>
      <c r="J46" s="20" t="s">
        <v>768</v>
      </c>
      <c r="K46" s="20" t="s">
        <v>770</v>
      </c>
      <c r="L46" s="20" t="s">
        <v>772</v>
      </c>
      <c r="M46" s="20" t="s">
        <v>742</v>
      </c>
      <c r="N46" s="20" t="s">
        <v>775</v>
      </c>
      <c r="O46" s="20" t="s">
        <v>777</v>
      </c>
      <c r="P46" s="20" t="s">
        <v>779</v>
      </c>
      <c r="Q46" s="20" t="s">
        <v>781</v>
      </c>
      <c r="R46" s="20" t="s">
        <v>783</v>
      </c>
      <c r="S46" s="20" t="s">
        <v>785</v>
      </c>
      <c r="T46" s="20" t="s">
        <v>787</v>
      </c>
      <c r="U46" s="20" t="s">
        <v>789</v>
      </c>
      <c r="V46" s="20" t="s">
        <v>791</v>
      </c>
      <c r="W46" s="20" t="s">
        <v>793</v>
      </c>
      <c r="X46" s="20" t="s">
        <v>795</v>
      </c>
      <c r="Y46" s="20" t="s">
        <v>797</v>
      </c>
      <c r="Z46" s="20" t="s">
        <v>799</v>
      </c>
      <c r="AA46" s="20" t="s">
        <v>801</v>
      </c>
      <c r="AB46" s="20" t="s">
        <v>803</v>
      </c>
      <c r="AC46" s="20" t="s">
        <v>805</v>
      </c>
      <c r="AD46" s="20" t="s">
        <v>807</v>
      </c>
      <c r="AE46" s="20" t="s">
        <v>809</v>
      </c>
      <c r="AF46" s="20" t="s">
        <v>811</v>
      </c>
      <c r="AG46" s="20" t="s">
        <v>813</v>
      </c>
      <c r="AH46" s="20" t="s">
        <v>815</v>
      </c>
      <c r="AI46" s="20" t="s">
        <v>817</v>
      </c>
      <c r="AJ46" s="20" t="s">
        <v>819</v>
      </c>
      <c r="AK46" s="20" t="s">
        <v>821</v>
      </c>
      <c r="AL46" s="20" t="s">
        <v>823</v>
      </c>
      <c r="AM46" s="20" t="s">
        <v>825</v>
      </c>
      <c r="AN46" s="20" t="s">
        <v>827</v>
      </c>
      <c r="AO46" s="20" t="s">
        <v>828</v>
      </c>
      <c r="AP46" s="20" t="s">
        <v>830</v>
      </c>
    </row>
    <row r="47" spans="1:42" x14ac:dyDescent="0.2">
      <c r="A47" s="20" t="s">
        <v>753</v>
      </c>
      <c r="B47" s="20" t="s">
        <v>755</v>
      </c>
      <c r="C47" s="20" t="s">
        <v>757</v>
      </c>
      <c r="D47" s="20" t="s">
        <v>759</v>
      </c>
      <c r="E47" s="20" t="s">
        <v>661</v>
      </c>
      <c r="F47" s="20" t="s">
        <v>761</v>
      </c>
      <c r="G47" s="20" t="s">
        <v>763</v>
      </c>
      <c r="H47" s="20" t="s">
        <v>765</v>
      </c>
      <c r="I47" s="20" t="s">
        <v>767</v>
      </c>
      <c r="J47" s="20" t="s">
        <v>769</v>
      </c>
      <c r="K47" s="20" t="s">
        <v>771</v>
      </c>
      <c r="L47" s="20" t="s">
        <v>773</v>
      </c>
      <c r="M47" s="20" t="s">
        <v>774</v>
      </c>
      <c r="N47" s="20" t="s">
        <v>776</v>
      </c>
      <c r="O47" s="20" t="s">
        <v>778</v>
      </c>
      <c r="P47" s="20" t="s">
        <v>780</v>
      </c>
      <c r="Q47" s="20" t="s">
        <v>782</v>
      </c>
      <c r="R47" s="20" t="s">
        <v>784</v>
      </c>
      <c r="S47" s="20" t="s">
        <v>786</v>
      </c>
      <c r="T47" s="20" t="s">
        <v>788</v>
      </c>
      <c r="U47" s="20" t="s">
        <v>790</v>
      </c>
      <c r="V47" s="20" t="s">
        <v>792</v>
      </c>
      <c r="W47" s="20" t="s">
        <v>794</v>
      </c>
      <c r="X47" s="20" t="s">
        <v>796</v>
      </c>
      <c r="Y47" s="20" t="s">
        <v>798</v>
      </c>
      <c r="Z47" s="20" t="s">
        <v>800</v>
      </c>
      <c r="AA47" s="20" t="s">
        <v>802</v>
      </c>
      <c r="AB47" s="20" t="s">
        <v>804</v>
      </c>
      <c r="AC47" s="20" t="s">
        <v>806</v>
      </c>
      <c r="AD47" s="20" t="s">
        <v>808</v>
      </c>
      <c r="AE47" s="20" t="s">
        <v>810</v>
      </c>
      <c r="AF47" s="20" t="s">
        <v>812</v>
      </c>
      <c r="AG47" s="20" t="s">
        <v>814</v>
      </c>
      <c r="AH47" s="20" t="s">
        <v>816</v>
      </c>
      <c r="AI47" s="20" t="s">
        <v>818</v>
      </c>
      <c r="AJ47" s="20" t="s">
        <v>820</v>
      </c>
      <c r="AK47" s="20" t="s">
        <v>822</v>
      </c>
      <c r="AL47" s="20" t="s">
        <v>824</v>
      </c>
      <c r="AM47" s="20" t="s">
        <v>826</v>
      </c>
      <c r="AN47" s="20" t="s">
        <v>570</v>
      </c>
      <c r="AO47" s="20" t="s">
        <v>829</v>
      </c>
      <c r="AP47" s="20" t="s">
        <v>831</v>
      </c>
    </row>
    <row r="49" spans="1:39" x14ac:dyDescent="0.2">
      <c r="A49" s="1" t="s">
        <v>832</v>
      </c>
    </row>
    <row r="50" spans="1:39" x14ac:dyDescent="0.2">
      <c r="A50" s="20" t="s">
        <v>752</v>
      </c>
      <c r="B50" s="20" t="s">
        <v>571</v>
      </c>
      <c r="C50" s="20" t="s">
        <v>819</v>
      </c>
      <c r="D50" s="20" t="s">
        <v>821</v>
      </c>
      <c r="E50" s="20" t="s">
        <v>823</v>
      </c>
      <c r="F50" s="20" t="s">
        <v>825</v>
      </c>
    </row>
    <row r="51" spans="1:39" x14ac:dyDescent="0.2">
      <c r="A51" s="20" t="s">
        <v>753</v>
      </c>
      <c r="B51" s="20" t="s">
        <v>761</v>
      </c>
      <c r="C51" s="20" t="s">
        <v>820</v>
      </c>
      <c r="D51" s="20" t="s">
        <v>822</v>
      </c>
      <c r="E51" s="20" t="s">
        <v>824</v>
      </c>
      <c r="F51" s="20" t="s">
        <v>826</v>
      </c>
    </row>
    <row r="53" spans="1:39" x14ac:dyDescent="0.2">
      <c r="A53" s="1" t="s">
        <v>833</v>
      </c>
    </row>
    <row r="54" spans="1:39" x14ac:dyDescent="0.2">
      <c r="A54" s="20" t="s">
        <v>752</v>
      </c>
      <c r="B54" s="20" t="s">
        <v>834</v>
      </c>
      <c r="C54" s="20" t="s">
        <v>836</v>
      </c>
      <c r="D54" s="20" t="s">
        <v>838</v>
      </c>
      <c r="E54" s="20" t="s">
        <v>760</v>
      </c>
      <c r="F54" s="20" t="s">
        <v>841</v>
      </c>
      <c r="G54" s="20" t="s">
        <v>842</v>
      </c>
      <c r="H54" s="20" t="s">
        <v>844</v>
      </c>
      <c r="I54" s="20" t="s">
        <v>846</v>
      </c>
      <c r="J54" s="20" t="s">
        <v>848</v>
      </c>
      <c r="K54" s="20" t="s">
        <v>850</v>
      </c>
      <c r="L54" s="20" t="s">
        <v>852</v>
      </c>
      <c r="M54" s="20" t="s">
        <v>854</v>
      </c>
      <c r="N54" s="20" t="s">
        <v>855</v>
      </c>
      <c r="O54" s="20" t="s">
        <v>857</v>
      </c>
      <c r="P54" s="20" t="s">
        <v>859</v>
      </c>
      <c r="Q54" s="20" t="s">
        <v>861</v>
      </c>
      <c r="R54" s="20" t="s">
        <v>863</v>
      </c>
      <c r="S54" s="20" t="s">
        <v>819</v>
      </c>
      <c r="T54" s="20" t="s">
        <v>866</v>
      </c>
      <c r="U54" s="20" t="s">
        <v>868</v>
      </c>
      <c r="V54" s="20" t="s">
        <v>870</v>
      </c>
      <c r="W54" s="20" t="s">
        <v>872</v>
      </c>
      <c r="X54" s="20" t="s">
        <v>874</v>
      </c>
      <c r="Y54" s="20" t="s">
        <v>876</v>
      </c>
      <c r="Z54" s="20" t="s">
        <v>878</v>
      </c>
      <c r="AA54" s="20" t="s">
        <v>880</v>
      </c>
      <c r="AB54" s="20" t="s">
        <v>821</v>
      </c>
      <c r="AC54" s="20" t="s">
        <v>823</v>
      </c>
      <c r="AD54" s="20" t="s">
        <v>825</v>
      </c>
      <c r="AE54" s="20" t="s">
        <v>885</v>
      </c>
      <c r="AF54" s="20" t="s">
        <v>886</v>
      </c>
      <c r="AG54" s="20" t="s">
        <v>888</v>
      </c>
      <c r="AH54" s="20" t="s">
        <v>890</v>
      </c>
      <c r="AI54" s="20" t="s">
        <v>892</v>
      </c>
      <c r="AJ54" s="20" t="s">
        <v>894</v>
      </c>
      <c r="AK54" s="20" t="s">
        <v>896</v>
      </c>
      <c r="AL54" s="20" t="s">
        <v>898</v>
      </c>
      <c r="AM54" s="20" t="s">
        <v>772</v>
      </c>
    </row>
    <row r="55" spans="1:39" x14ac:dyDescent="0.2">
      <c r="A55" s="20" t="s">
        <v>753</v>
      </c>
      <c r="B55" s="20" t="s">
        <v>835</v>
      </c>
      <c r="C55" s="20" t="s">
        <v>837</v>
      </c>
      <c r="D55" s="20" t="s">
        <v>839</v>
      </c>
      <c r="E55" s="20" t="s">
        <v>840</v>
      </c>
      <c r="F55" s="20" t="s">
        <v>21</v>
      </c>
      <c r="G55" s="20" t="s">
        <v>843</v>
      </c>
      <c r="H55" s="20" t="s">
        <v>845</v>
      </c>
      <c r="I55" s="20" t="s">
        <v>847</v>
      </c>
      <c r="J55" s="20" t="s">
        <v>849</v>
      </c>
      <c r="K55" s="20" t="s">
        <v>851</v>
      </c>
      <c r="L55" s="20" t="s">
        <v>853</v>
      </c>
      <c r="M55" s="20" t="s">
        <v>773</v>
      </c>
      <c r="N55" s="20" t="s">
        <v>856</v>
      </c>
      <c r="O55" s="20" t="s">
        <v>858</v>
      </c>
      <c r="P55" s="20" t="s">
        <v>860</v>
      </c>
      <c r="Q55" s="20" t="s">
        <v>862</v>
      </c>
      <c r="R55" s="20" t="s">
        <v>864</v>
      </c>
      <c r="S55" s="20" t="s">
        <v>865</v>
      </c>
      <c r="T55" s="20" t="s">
        <v>867</v>
      </c>
      <c r="U55" s="20" t="s">
        <v>869</v>
      </c>
      <c r="V55" s="20" t="s">
        <v>871</v>
      </c>
      <c r="W55" s="20" t="s">
        <v>873</v>
      </c>
      <c r="X55" s="20" t="s">
        <v>875</v>
      </c>
      <c r="Y55" s="20" t="s">
        <v>877</v>
      </c>
      <c r="Z55" s="20" t="s">
        <v>879</v>
      </c>
      <c r="AA55" s="20" t="s">
        <v>881</v>
      </c>
      <c r="AB55" s="20" t="s">
        <v>882</v>
      </c>
      <c r="AC55" s="20" t="s">
        <v>883</v>
      </c>
      <c r="AD55" s="20" t="s">
        <v>884</v>
      </c>
      <c r="AE55" s="20" t="s">
        <v>570</v>
      </c>
      <c r="AF55" s="20" t="s">
        <v>887</v>
      </c>
      <c r="AG55" s="20" t="s">
        <v>889</v>
      </c>
      <c r="AH55" s="20" t="s">
        <v>891</v>
      </c>
      <c r="AI55" s="20" t="s">
        <v>893</v>
      </c>
      <c r="AJ55" s="20" t="s">
        <v>895</v>
      </c>
      <c r="AK55" s="20" t="s">
        <v>897</v>
      </c>
      <c r="AL55" s="20" t="s">
        <v>899</v>
      </c>
      <c r="AM55" s="20" t="s">
        <v>773</v>
      </c>
    </row>
    <row r="57" spans="1:39" x14ac:dyDescent="0.2">
      <c r="A57" s="1" t="s">
        <v>900</v>
      </c>
    </row>
    <row r="58" spans="1:39" x14ac:dyDescent="0.2">
      <c r="A58" s="20" t="s">
        <v>901</v>
      </c>
      <c r="B58" s="20" t="s">
        <v>665</v>
      </c>
      <c r="C58" s="20" t="s">
        <v>904</v>
      </c>
      <c r="D58" s="20" t="s">
        <v>906</v>
      </c>
      <c r="E58" s="20" t="s">
        <v>908</v>
      </c>
      <c r="F58" s="20" t="s">
        <v>909</v>
      </c>
      <c r="G58" s="20" t="s">
        <v>910</v>
      </c>
      <c r="H58" s="20" t="s">
        <v>912</v>
      </c>
    </row>
    <row r="59" spans="1:39" x14ac:dyDescent="0.2">
      <c r="A59" s="20" t="s">
        <v>902</v>
      </c>
      <c r="B59" s="20" t="s">
        <v>903</v>
      </c>
      <c r="C59" s="20" t="s">
        <v>905</v>
      </c>
      <c r="D59" s="20" t="s">
        <v>907</v>
      </c>
      <c r="E59" s="20" t="s">
        <v>654</v>
      </c>
      <c r="F59" s="20" t="s">
        <v>652</v>
      </c>
      <c r="G59" s="20" t="s">
        <v>911</v>
      </c>
      <c r="H59" s="20" t="s">
        <v>913</v>
      </c>
    </row>
    <row r="61" spans="1:39" x14ac:dyDescent="0.2">
      <c r="A61" s="1" t="s">
        <v>914</v>
      </c>
    </row>
    <row r="62" spans="1:39" x14ac:dyDescent="0.2">
      <c r="A62" s="20" t="s">
        <v>915</v>
      </c>
      <c r="B62" s="20" t="s">
        <v>571</v>
      </c>
      <c r="C62" s="20" t="s">
        <v>918</v>
      </c>
      <c r="D62" s="20" t="s">
        <v>920</v>
      </c>
      <c r="E62" s="20" t="s">
        <v>922</v>
      </c>
      <c r="F62" s="20" t="s">
        <v>825</v>
      </c>
      <c r="G62" s="20" t="s">
        <v>924</v>
      </c>
      <c r="H62" s="20" t="s">
        <v>821</v>
      </c>
      <c r="I62" s="20" t="s">
        <v>823</v>
      </c>
    </row>
    <row r="63" spans="1:39" x14ac:dyDescent="0.2">
      <c r="A63" s="20" t="s">
        <v>916</v>
      </c>
      <c r="B63" s="20" t="s">
        <v>917</v>
      </c>
      <c r="C63" s="20" t="s">
        <v>919</v>
      </c>
      <c r="D63" s="20" t="s">
        <v>921</v>
      </c>
      <c r="E63" s="20" t="s">
        <v>923</v>
      </c>
      <c r="F63" s="20" t="s">
        <v>826</v>
      </c>
      <c r="G63" s="20" t="s">
        <v>925</v>
      </c>
      <c r="H63" s="20" t="s">
        <v>822</v>
      </c>
      <c r="I63" s="20" t="s">
        <v>824</v>
      </c>
    </row>
    <row r="65" spans="1:69" x14ac:dyDescent="0.2">
      <c r="A65" s="1" t="s">
        <v>926</v>
      </c>
    </row>
    <row r="66" spans="1:69" x14ac:dyDescent="0.2">
      <c r="A66" s="20" t="s">
        <v>915</v>
      </c>
      <c r="B66" s="20" t="s">
        <v>571</v>
      </c>
      <c r="C66" s="20" t="s">
        <v>918</v>
      </c>
      <c r="D66" s="20" t="s">
        <v>922</v>
      </c>
      <c r="E66" s="20" t="s">
        <v>819</v>
      </c>
      <c r="F66" s="20" t="s">
        <v>928</v>
      </c>
      <c r="G66" s="20" t="s">
        <v>821</v>
      </c>
      <c r="H66" s="20" t="s">
        <v>823</v>
      </c>
      <c r="I66" s="20" t="s">
        <v>930</v>
      </c>
    </row>
    <row r="67" spans="1:69" x14ac:dyDescent="0.2">
      <c r="A67" s="20" t="s">
        <v>916</v>
      </c>
      <c r="B67" s="20" t="s">
        <v>927</v>
      </c>
      <c r="C67" s="20" t="s">
        <v>919</v>
      </c>
      <c r="D67" s="20" t="s">
        <v>923</v>
      </c>
      <c r="E67" s="20"/>
      <c r="F67" s="20" t="s">
        <v>929</v>
      </c>
      <c r="G67" s="20" t="s">
        <v>822</v>
      </c>
      <c r="H67" s="20" t="s">
        <v>824</v>
      </c>
      <c r="I67" s="20" t="s">
        <v>931</v>
      </c>
    </row>
    <row r="69" spans="1:69" x14ac:dyDescent="0.2">
      <c r="A69" s="1" t="s">
        <v>932</v>
      </c>
    </row>
    <row r="70" spans="1:69" x14ac:dyDescent="0.2">
      <c r="A70" s="20" t="s">
        <v>933</v>
      </c>
      <c r="B70" s="20" t="s">
        <v>819</v>
      </c>
      <c r="C70" s="20" t="s">
        <v>934</v>
      </c>
      <c r="D70" s="20" t="s">
        <v>936</v>
      </c>
      <c r="E70" s="20" t="s">
        <v>938</v>
      </c>
      <c r="F70" s="20" t="s">
        <v>940</v>
      </c>
      <c r="G70" s="20" t="s">
        <v>942</v>
      </c>
      <c r="H70" s="20" t="s">
        <v>944</v>
      </c>
      <c r="I70" s="20" t="s">
        <v>946</v>
      </c>
      <c r="J70" s="20" t="s">
        <v>821</v>
      </c>
      <c r="K70" s="20" t="s">
        <v>823</v>
      </c>
      <c r="L70" s="20" t="s">
        <v>948</v>
      </c>
      <c r="M70" s="20" t="s">
        <v>950</v>
      </c>
      <c r="N70" s="20" t="s">
        <v>951</v>
      </c>
      <c r="O70" s="20" t="s">
        <v>952</v>
      </c>
      <c r="P70" s="20" t="s">
        <v>863</v>
      </c>
      <c r="Q70" s="20" t="s">
        <v>953</v>
      </c>
      <c r="R70" s="20" t="s">
        <v>870</v>
      </c>
      <c r="S70" s="20" t="s">
        <v>872</v>
      </c>
      <c r="T70" s="20" t="s">
        <v>874</v>
      </c>
      <c r="U70" s="20" t="s">
        <v>878</v>
      </c>
      <c r="V70" s="20" t="s">
        <v>876</v>
      </c>
      <c r="W70" s="20" t="s">
        <v>956</v>
      </c>
      <c r="X70" s="20" t="s">
        <v>957</v>
      </c>
      <c r="Y70" s="20" t="s">
        <v>866</v>
      </c>
      <c r="Z70" s="20" t="s">
        <v>791</v>
      </c>
      <c r="AA70" s="20" t="s">
        <v>793</v>
      </c>
      <c r="AB70" s="20" t="s">
        <v>777</v>
      </c>
      <c r="AC70" s="20" t="s">
        <v>958</v>
      </c>
      <c r="AD70" s="20" t="s">
        <v>797</v>
      </c>
      <c r="AE70" s="20" t="s">
        <v>803</v>
      </c>
      <c r="AF70" s="20" t="s">
        <v>805</v>
      </c>
      <c r="AG70" s="20" t="s">
        <v>807</v>
      </c>
      <c r="AH70" s="20" t="s">
        <v>809</v>
      </c>
      <c r="AI70" s="20" t="s">
        <v>811</v>
      </c>
      <c r="AJ70" s="20" t="s">
        <v>813</v>
      </c>
      <c r="AK70" s="20" t="s">
        <v>815</v>
      </c>
      <c r="AL70" s="20" t="s">
        <v>817</v>
      </c>
      <c r="AM70" s="20" t="s">
        <v>960</v>
      </c>
      <c r="AN70" s="20" t="s">
        <v>785</v>
      </c>
      <c r="AO70" s="20" t="s">
        <v>787</v>
      </c>
      <c r="AP70" s="20" t="s">
        <v>961</v>
      </c>
      <c r="AQ70" s="20" t="s">
        <v>779</v>
      </c>
      <c r="AR70" s="20" t="s">
        <v>781</v>
      </c>
      <c r="AS70" s="20" t="s">
        <v>963</v>
      </c>
      <c r="AT70" s="20" t="s">
        <v>965</v>
      </c>
      <c r="AU70" s="20" t="s">
        <v>967</v>
      </c>
      <c r="AV70" s="20" t="s">
        <v>969</v>
      </c>
      <c r="AW70" s="20" t="s">
        <v>971</v>
      </c>
      <c r="AX70" s="20" t="s">
        <v>973</v>
      </c>
      <c r="AY70" s="20" t="s">
        <v>975</v>
      </c>
      <c r="AZ70" s="20" t="s">
        <v>977</v>
      </c>
      <c r="BA70" s="20" t="s">
        <v>979</v>
      </c>
      <c r="BB70" s="20" t="s">
        <v>981</v>
      </c>
      <c r="BC70" s="20" t="s">
        <v>983</v>
      </c>
      <c r="BD70" s="20" t="s">
        <v>985</v>
      </c>
      <c r="BE70" s="20" t="s">
        <v>987</v>
      </c>
      <c r="BF70" s="20" t="s">
        <v>989</v>
      </c>
      <c r="BG70" s="20" t="s">
        <v>991</v>
      </c>
      <c r="BH70" s="20" t="s">
        <v>993</v>
      </c>
      <c r="BI70" s="20" t="s">
        <v>995</v>
      </c>
      <c r="BJ70" s="20" t="s">
        <v>997</v>
      </c>
      <c r="BK70" s="20" t="s">
        <v>999</v>
      </c>
      <c r="BL70" s="20" t="s">
        <v>1001</v>
      </c>
      <c r="BM70" s="20" t="s">
        <v>1003</v>
      </c>
      <c r="BN70" s="20" t="s">
        <v>1005</v>
      </c>
      <c r="BO70" s="20" t="s">
        <v>1007</v>
      </c>
      <c r="BP70" s="20" t="s">
        <v>1009</v>
      </c>
      <c r="BQ70" s="20" t="s">
        <v>752</v>
      </c>
    </row>
    <row r="71" spans="1:69" x14ac:dyDescent="0.2">
      <c r="A71" s="20" t="s">
        <v>902</v>
      </c>
      <c r="B71" s="20" t="s">
        <v>820</v>
      </c>
      <c r="C71" s="20" t="s">
        <v>935</v>
      </c>
      <c r="D71" s="20" t="s">
        <v>937</v>
      </c>
      <c r="E71" s="20" t="s">
        <v>939</v>
      </c>
      <c r="F71" s="20" t="s">
        <v>941</v>
      </c>
      <c r="G71" s="20" t="s">
        <v>943</v>
      </c>
      <c r="H71" s="20" t="s">
        <v>945</v>
      </c>
      <c r="I71" s="20" t="s">
        <v>947</v>
      </c>
      <c r="J71" s="20" t="s">
        <v>882</v>
      </c>
      <c r="K71" s="20" t="s">
        <v>883</v>
      </c>
      <c r="L71" s="20" t="s">
        <v>949</v>
      </c>
      <c r="M71" s="20" t="s">
        <v>860</v>
      </c>
      <c r="N71" s="20" t="s">
        <v>858</v>
      </c>
      <c r="O71" s="20" t="s">
        <v>862</v>
      </c>
      <c r="P71" s="20" t="s">
        <v>864</v>
      </c>
      <c r="Q71" s="20" t="s">
        <v>856</v>
      </c>
      <c r="R71" s="20" t="s">
        <v>871</v>
      </c>
      <c r="S71" s="20" t="s">
        <v>954</v>
      </c>
      <c r="T71" s="20" t="s">
        <v>955</v>
      </c>
      <c r="U71" s="20" t="s">
        <v>879</v>
      </c>
      <c r="V71" s="20" t="s">
        <v>877</v>
      </c>
      <c r="W71" s="20" t="s">
        <v>881</v>
      </c>
      <c r="X71" s="20" t="s">
        <v>869</v>
      </c>
      <c r="Y71" s="20" t="s">
        <v>867</v>
      </c>
      <c r="Z71" s="20" t="s">
        <v>792</v>
      </c>
      <c r="AA71" s="20" t="s">
        <v>794</v>
      </c>
      <c r="AB71" s="20" t="s">
        <v>778</v>
      </c>
      <c r="AC71" s="20" t="s">
        <v>959</v>
      </c>
      <c r="AD71" s="20" t="s">
        <v>798</v>
      </c>
      <c r="AE71" s="20" t="s">
        <v>804</v>
      </c>
      <c r="AF71" s="20" t="s">
        <v>806</v>
      </c>
      <c r="AG71" s="20" t="s">
        <v>808</v>
      </c>
      <c r="AH71" s="20" t="s">
        <v>810</v>
      </c>
      <c r="AI71" s="20" t="s">
        <v>812</v>
      </c>
      <c r="AJ71" s="20" t="s">
        <v>814</v>
      </c>
      <c r="AK71" s="20" t="s">
        <v>816</v>
      </c>
      <c r="AL71" s="20" t="s">
        <v>818</v>
      </c>
      <c r="AM71" s="20" t="s">
        <v>784</v>
      </c>
      <c r="AN71" s="20" t="s">
        <v>786</v>
      </c>
      <c r="AO71" s="20" t="s">
        <v>788</v>
      </c>
      <c r="AP71" s="20" t="s">
        <v>962</v>
      </c>
      <c r="AQ71" s="20" t="s">
        <v>780</v>
      </c>
      <c r="AR71" s="20" t="s">
        <v>782</v>
      </c>
      <c r="AS71" s="20" t="s">
        <v>964</v>
      </c>
      <c r="AT71" s="20" t="s">
        <v>966</v>
      </c>
      <c r="AU71" s="20" t="s">
        <v>968</v>
      </c>
      <c r="AV71" s="20" t="s">
        <v>970</v>
      </c>
      <c r="AW71" s="20" t="s">
        <v>972</v>
      </c>
      <c r="AX71" s="20" t="s">
        <v>974</v>
      </c>
      <c r="AY71" s="20" t="s">
        <v>976</v>
      </c>
      <c r="AZ71" s="20" t="s">
        <v>978</v>
      </c>
      <c r="BA71" s="20" t="s">
        <v>980</v>
      </c>
      <c r="BB71" s="20" t="s">
        <v>982</v>
      </c>
      <c r="BC71" s="20" t="s">
        <v>984</v>
      </c>
      <c r="BD71" s="20" t="s">
        <v>986</v>
      </c>
      <c r="BE71" s="20" t="s">
        <v>988</v>
      </c>
      <c r="BF71" s="20" t="s">
        <v>990</v>
      </c>
      <c r="BG71" s="20" t="s">
        <v>992</v>
      </c>
      <c r="BH71" s="20" t="s">
        <v>994</v>
      </c>
      <c r="BI71" s="20" t="s">
        <v>996</v>
      </c>
      <c r="BJ71" s="20" t="s">
        <v>998</v>
      </c>
      <c r="BK71" s="20" t="s">
        <v>1000</v>
      </c>
      <c r="BL71" s="20" t="s">
        <v>1002</v>
      </c>
      <c r="BM71" s="20" t="s">
        <v>1004</v>
      </c>
      <c r="BN71" s="20" t="s">
        <v>1006</v>
      </c>
      <c r="BO71" s="20" t="s">
        <v>1008</v>
      </c>
      <c r="BP71" s="20" t="s">
        <v>1010</v>
      </c>
      <c r="BQ71" s="20" t="s">
        <v>1011</v>
      </c>
    </row>
    <row r="73" spans="1:69" x14ac:dyDescent="0.2">
      <c r="A73" s="1" t="s">
        <v>1012</v>
      </c>
    </row>
    <row r="74" spans="1:69" x14ac:dyDescent="0.2">
      <c r="A74" s="20" t="s">
        <v>915</v>
      </c>
      <c r="B74" s="20" t="s">
        <v>571</v>
      </c>
      <c r="C74" s="20" t="s">
        <v>918</v>
      </c>
      <c r="D74" s="20" t="s">
        <v>922</v>
      </c>
      <c r="E74" s="20" t="s">
        <v>821</v>
      </c>
      <c r="F74" s="20" t="s">
        <v>823</v>
      </c>
      <c r="G74" s="20" t="s">
        <v>819</v>
      </c>
      <c r="H74" s="20" t="s">
        <v>920</v>
      </c>
      <c r="I74" s="20" t="s">
        <v>1014</v>
      </c>
    </row>
    <row r="75" spans="1:69" x14ac:dyDescent="0.2">
      <c r="A75" s="20" t="s">
        <v>916</v>
      </c>
      <c r="B75" s="20" t="s">
        <v>1013</v>
      </c>
      <c r="C75" s="20" t="s">
        <v>919</v>
      </c>
      <c r="D75" s="20" t="s">
        <v>923</v>
      </c>
      <c r="E75" s="20" t="s">
        <v>822</v>
      </c>
      <c r="F75" s="20" t="s">
        <v>824</v>
      </c>
      <c r="G75" s="20" t="s">
        <v>865</v>
      </c>
      <c r="H75" s="20" t="s">
        <v>921</v>
      </c>
      <c r="I75" s="20" t="s">
        <v>1015</v>
      </c>
    </row>
    <row r="77" spans="1:69" x14ac:dyDescent="0.2">
      <c r="A77" s="1" t="s">
        <v>1016</v>
      </c>
    </row>
    <row r="78" spans="1:69" x14ac:dyDescent="0.2">
      <c r="A78" s="20" t="s">
        <v>915</v>
      </c>
      <c r="B78" s="20" t="s">
        <v>571</v>
      </c>
      <c r="C78" s="20" t="s">
        <v>918</v>
      </c>
      <c r="D78" s="20" t="s">
        <v>922</v>
      </c>
      <c r="E78" s="20" t="s">
        <v>1018</v>
      </c>
      <c r="F78" s="20" t="s">
        <v>821</v>
      </c>
      <c r="G78" s="20" t="s">
        <v>823</v>
      </c>
      <c r="H78" s="20" t="s">
        <v>819</v>
      </c>
      <c r="I78" s="20" t="s">
        <v>1020</v>
      </c>
    </row>
    <row r="79" spans="1:69" x14ac:dyDescent="0.2">
      <c r="A79" s="20" t="s">
        <v>916</v>
      </c>
      <c r="B79" s="20" t="s">
        <v>1017</v>
      </c>
      <c r="C79" s="20" t="s">
        <v>919</v>
      </c>
      <c r="D79" s="20" t="s">
        <v>923</v>
      </c>
      <c r="E79" s="20" t="s">
        <v>1019</v>
      </c>
      <c r="F79" s="20" t="s">
        <v>822</v>
      </c>
      <c r="G79" s="20" t="s">
        <v>824</v>
      </c>
      <c r="H79" s="20" t="s">
        <v>865</v>
      </c>
      <c r="I79" s="20" t="s">
        <v>1021</v>
      </c>
    </row>
    <row r="81" spans="1:38" x14ac:dyDescent="0.2">
      <c r="A81" s="1" t="s">
        <v>1022</v>
      </c>
    </row>
    <row r="82" spans="1:38" x14ac:dyDescent="0.2">
      <c r="A82" s="20" t="s">
        <v>1023</v>
      </c>
      <c r="B82" s="20" t="s">
        <v>711</v>
      </c>
      <c r="C82" s="20" t="s">
        <v>1026</v>
      </c>
      <c r="D82" s="20" t="s">
        <v>1028</v>
      </c>
      <c r="E82" s="20" t="s">
        <v>1030</v>
      </c>
      <c r="F82" s="20" t="s">
        <v>1032</v>
      </c>
      <c r="G82" s="20" t="s">
        <v>1034</v>
      </c>
      <c r="H82" s="20" t="s">
        <v>1036</v>
      </c>
      <c r="I82" s="20" t="s">
        <v>758</v>
      </c>
      <c r="J82" s="20" t="s">
        <v>1038</v>
      </c>
      <c r="K82" s="20" t="s">
        <v>1039</v>
      </c>
      <c r="L82" s="20" t="s">
        <v>571</v>
      </c>
      <c r="M82" s="20" t="s">
        <v>1041</v>
      </c>
      <c r="N82" s="20" t="s">
        <v>1043</v>
      </c>
      <c r="O82" s="20" t="s">
        <v>1045</v>
      </c>
      <c r="P82" s="20" t="s">
        <v>1047</v>
      </c>
      <c r="Q82" s="20" t="s">
        <v>1049</v>
      </c>
      <c r="R82" s="20" t="s">
        <v>1051</v>
      </c>
      <c r="S82" s="20" t="s">
        <v>1053</v>
      </c>
      <c r="T82" s="20" t="s">
        <v>1055</v>
      </c>
      <c r="U82" s="20" t="s">
        <v>731</v>
      </c>
      <c r="V82" s="20" t="s">
        <v>1058</v>
      </c>
      <c r="W82" s="20" t="s">
        <v>1060</v>
      </c>
      <c r="X82" s="20" t="s">
        <v>1061</v>
      </c>
      <c r="Y82" s="20" t="s">
        <v>1062</v>
      </c>
      <c r="Z82" s="20" t="s">
        <v>819</v>
      </c>
      <c r="AA82" s="20" t="s">
        <v>825</v>
      </c>
      <c r="AB82" s="20" t="s">
        <v>1064</v>
      </c>
      <c r="AC82" s="20" t="s">
        <v>1066</v>
      </c>
      <c r="AD82" s="20" t="s">
        <v>1068</v>
      </c>
      <c r="AE82" s="20" t="s">
        <v>1070</v>
      </c>
      <c r="AF82" s="20" t="s">
        <v>1072</v>
      </c>
      <c r="AG82" s="20" t="s">
        <v>827</v>
      </c>
      <c r="AH82" s="20" t="s">
        <v>1074</v>
      </c>
      <c r="AI82" s="20" t="s">
        <v>1076</v>
      </c>
      <c r="AJ82" s="20" t="s">
        <v>1078</v>
      </c>
      <c r="AK82" s="20" t="s">
        <v>1080</v>
      </c>
      <c r="AL82" s="20" t="s">
        <v>1082</v>
      </c>
    </row>
    <row r="83" spans="1:38" x14ac:dyDescent="0.2">
      <c r="A83" s="20" t="s">
        <v>1024</v>
      </c>
      <c r="B83" s="20" t="s">
        <v>1025</v>
      </c>
      <c r="C83" s="20" t="s">
        <v>1027</v>
      </c>
      <c r="D83" s="20" t="s">
        <v>1029</v>
      </c>
      <c r="E83" s="20" t="s">
        <v>1031</v>
      </c>
      <c r="F83" s="20" t="s">
        <v>1033</v>
      </c>
      <c r="G83" s="20" t="s">
        <v>1035</v>
      </c>
      <c r="H83" s="20" t="s">
        <v>1037</v>
      </c>
      <c r="I83" s="20" t="s">
        <v>687</v>
      </c>
      <c r="J83" s="20" t="s">
        <v>689</v>
      </c>
      <c r="K83" s="20" t="s">
        <v>1040</v>
      </c>
      <c r="L83" s="20" t="s">
        <v>730</v>
      </c>
      <c r="M83" s="20" t="s">
        <v>1042</v>
      </c>
      <c r="N83" s="20" t="s">
        <v>1044</v>
      </c>
      <c r="O83" s="20" t="s">
        <v>1046</v>
      </c>
      <c r="P83" s="20" t="s">
        <v>1048</v>
      </c>
      <c r="Q83" s="20" t="s">
        <v>1050</v>
      </c>
      <c r="R83" s="20" t="s">
        <v>1052</v>
      </c>
      <c r="S83" s="20" t="s">
        <v>1054</v>
      </c>
      <c r="T83" s="20" t="s">
        <v>1056</v>
      </c>
      <c r="U83" s="20" t="s">
        <v>1057</v>
      </c>
      <c r="V83" s="20" t="s">
        <v>1059</v>
      </c>
      <c r="W83" s="20" t="s">
        <v>877</v>
      </c>
      <c r="X83" s="20" t="s">
        <v>879</v>
      </c>
      <c r="Y83" s="20" t="s">
        <v>736</v>
      </c>
      <c r="Z83" s="20" t="s">
        <v>1063</v>
      </c>
      <c r="AA83" s="20" t="s">
        <v>826</v>
      </c>
      <c r="AB83" s="20" t="s">
        <v>1065</v>
      </c>
      <c r="AC83" s="20" t="s">
        <v>1067</v>
      </c>
      <c r="AD83" s="20" t="s">
        <v>1069</v>
      </c>
      <c r="AE83" s="20" t="s">
        <v>1071</v>
      </c>
      <c r="AF83" s="20" t="s">
        <v>1073</v>
      </c>
      <c r="AG83" s="20" t="s">
        <v>570</v>
      </c>
      <c r="AH83" s="20" t="s">
        <v>1075</v>
      </c>
      <c r="AI83" s="20" t="s">
        <v>1077</v>
      </c>
      <c r="AJ83" s="20" t="s">
        <v>1079</v>
      </c>
      <c r="AK83" s="20" t="s">
        <v>1081</v>
      </c>
      <c r="AL83" s="20" t="s">
        <v>1083</v>
      </c>
    </row>
    <row r="85" spans="1:38" x14ac:dyDescent="0.2">
      <c r="A85" s="1" t="s">
        <v>1084</v>
      </c>
    </row>
    <row r="86" spans="1:38" x14ac:dyDescent="0.2">
      <c r="A86" s="20" t="s">
        <v>1085</v>
      </c>
      <c r="B86" s="20" t="s">
        <v>1087</v>
      </c>
      <c r="C86" s="20" t="s">
        <v>1089</v>
      </c>
      <c r="D86" s="20" t="s">
        <v>1091</v>
      </c>
      <c r="E86" s="20" t="s">
        <v>1093</v>
      </c>
      <c r="F86" s="20" t="s">
        <v>1095</v>
      </c>
      <c r="G86" s="20" t="s">
        <v>819</v>
      </c>
      <c r="H86" s="20" t="s">
        <v>1096</v>
      </c>
      <c r="I86" s="20" t="s">
        <v>1098</v>
      </c>
      <c r="J86" s="20" t="s">
        <v>1100</v>
      </c>
      <c r="K86" s="20" t="s">
        <v>1102</v>
      </c>
      <c r="L86" s="20" t="s">
        <v>1104</v>
      </c>
      <c r="M86" s="20" t="s">
        <v>825</v>
      </c>
      <c r="N86" s="20" t="s">
        <v>821</v>
      </c>
      <c r="O86" s="20" t="s">
        <v>823</v>
      </c>
      <c r="P86" s="20" t="s">
        <v>1107</v>
      </c>
      <c r="Q86" s="20" t="s">
        <v>1109</v>
      </c>
      <c r="R86" s="20" t="s">
        <v>1111</v>
      </c>
      <c r="S86" s="20" t="s">
        <v>1113</v>
      </c>
      <c r="T86" s="20" t="s">
        <v>1115</v>
      </c>
      <c r="U86" s="20" t="s">
        <v>1117</v>
      </c>
    </row>
    <row r="87" spans="1:38" x14ac:dyDescent="0.2">
      <c r="A87" s="20" t="s">
        <v>1086</v>
      </c>
      <c r="B87" s="20" t="s">
        <v>1088</v>
      </c>
      <c r="C87" s="20" t="s">
        <v>1090</v>
      </c>
      <c r="D87" s="20" t="s">
        <v>1092</v>
      </c>
      <c r="E87" s="20" t="s">
        <v>1094</v>
      </c>
      <c r="F87" s="20" t="s">
        <v>1094</v>
      </c>
      <c r="G87" s="20" t="s">
        <v>865</v>
      </c>
      <c r="H87" s="20" t="s">
        <v>1097</v>
      </c>
      <c r="I87" s="20" t="s">
        <v>1099</v>
      </c>
      <c r="J87" s="20" t="s">
        <v>1101</v>
      </c>
      <c r="K87" s="20" t="s">
        <v>1103</v>
      </c>
      <c r="L87" s="20" t="s">
        <v>1105</v>
      </c>
      <c r="M87" s="20" t="s">
        <v>1106</v>
      </c>
      <c r="N87" s="20" t="s">
        <v>882</v>
      </c>
      <c r="O87" s="20" t="s">
        <v>883</v>
      </c>
      <c r="P87" s="20" t="s">
        <v>1108</v>
      </c>
      <c r="Q87" s="20" t="s">
        <v>1110</v>
      </c>
      <c r="R87" s="20" t="s">
        <v>1112</v>
      </c>
      <c r="S87" s="20" t="s">
        <v>1114</v>
      </c>
      <c r="T87" s="20" t="s">
        <v>1116</v>
      </c>
      <c r="U87" s="20" t="s">
        <v>1118</v>
      </c>
    </row>
  </sheetData>
  <phoneticPr fontId="1"/>
  <pageMargins left="0.70866141732283505" right="0.70866141732283505" top="0.74803149606299202" bottom="0.74803149606299202" header="0.31496062992126" footer="0.31496062992126"/>
  <pageSetup paperSize="9" fitToHeight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A78967-54B5-4948-9AF6-47004F7CCF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前期準備</vt:lpstr>
      <vt:lpstr>テーブル</vt:lpstr>
      <vt:lpstr>カラム</vt:lpstr>
      <vt:lpstr>データ抽出</vt:lpstr>
      <vt:lpstr>Sheet15</vt:lpstr>
      <vt:lpstr>カラム!sheetColumnInfo</vt:lpstr>
      <vt:lpstr>テーブル!sheetTableInfo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hailang</dc:creator>
  <cp:lastModifiedBy>韓 曉明</cp:lastModifiedBy>
  <cp:lastPrinted>2020-04-11T15:56:44Z</cp:lastPrinted>
  <dcterms:created xsi:type="dcterms:W3CDTF">2018-10-20T09:34:48Z</dcterms:created>
  <dcterms:modified xsi:type="dcterms:W3CDTF">2023-10-10T00:38:46Z</dcterms:modified>
</cp:coreProperties>
</file>